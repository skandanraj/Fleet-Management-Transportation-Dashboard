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emf" ContentType="image/x-emf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1.svg" ContentType="image/svg+xml"/>
  <Override PartName="/xl/media/image12.webp" ContentType="image/webp"/>
  <Override PartName="/xl/media/image5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885" activeTab="3"/>
  </bookViews>
  <sheets>
    <sheet name="Dataset" sheetId="1" r:id="rId1"/>
    <sheet name="Table for Schedule" sheetId="7" r:id="rId2"/>
    <sheet name="Pivot Table" sheetId="4" r:id="rId3"/>
    <sheet name="Dashboard" sheetId="3" r:id="rId4"/>
    <sheet name="Schedule" sheetId="6" r:id="rId5"/>
  </sheets>
  <definedNames>
    <definedName name="Slicer_Driver">#N/A</definedName>
    <definedName name="Slicer_Month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<sst xmlns="http://schemas.openxmlformats.org/spreadsheetml/2006/main" count="522" uniqueCount="102">
  <si>
    <t>N</t>
  </si>
  <si>
    <t>Date</t>
  </si>
  <si>
    <t>Year</t>
  </si>
  <si>
    <t>Month</t>
  </si>
  <si>
    <t>Day</t>
  </si>
  <si>
    <t>Driver</t>
  </si>
  <si>
    <t>Buddy</t>
  </si>
  <si>
    <t>Vehicle</t>
  </si>
  <si>
    <t>Distance (km)</t>
  </si>
  <si>
    <t>Trip Classify</t>
  </si>
  <si>
    <t>Distance Traveled</t>
  </si>
  <si>
    <t>From</t>
  </si>
  <si>
    <t>To</t>
  </si>
  <si>
    <t>Goods</t>
  </si>
  <si>
    <t>Driver wage/trip</t>
  </si>
  <si>
    <t>Buddy wage/trip</t>
  </si>
  <si>
    <t>Driver Salary</t>
  </si>
  <si>
    <t>Buddy Salary</t>
  </si>
  <si>
    <t>Weight (Tons)</t>
  </si>
  <si>
    <t>Hired Transportation</t>
  </si>
  <si>
    <t>Saturday, January 01, 2022</t>
  </si>
  <si>
    <t>Jan</t>
  </si>
  <si>
    <t>Antoni</t>
  </si>
  <si>
    <t>Mike</t>
  </si>
  <si>
    <t>72-0466/0467</t>
  </si>
  <si>
    <t>Close</t>
  </si>
  <si>
    <t>Return</t>
  </si>
  <si>
    <t>Xunthai</t>
  </si>
  <si>
    <t>Gidec</t>
  </si>
  <si>
    <t>Woodchip</t>
  </si>
  <si>
    <t>No</t>
  </si>
  <si>
    <t>Tuesday, February 01, 2022</t>
  </si>
  <si>
    <t>Feb</t>
  </si>
  <si>
    <t>Jaison</t>
  </si>
  <si>
    <t>72-1001/1002</t>
  </si>
  <si>
    <t>Port Said</t>
  </si>
  <si>
    <t>Safeskin</t>
  </si>
  <si>
    <t>Woodpellet</t>
  </si>
  <si>
    <t>Tuesday, March 01, 2022</t>
  </si>
  <si>
    <t>Mar</t>
  </si>
  <si>
    <t>Far</t>
  </si>
  <si>
    <t>Suies</t>
  </si>
  <si>
    <t>Friday, April 01, 2022</t>
  </si>
  <si>
    <t>Apr</t>
  </si>
  <si>
    <t>Regular</t>
  </si>
  <si>
    <t>One-Way</t>
  </si>
  <si>
    <t>X1 Port</t>
  </si>
  <si>
    <t>Sunday, May 01, 2022</t>
  </si>
  <si>
    <t>May</t>
  </si>
  <si>
    <t>Lee</t>
  </si>
  <si>
    <t>Top glove</t>
  </si>
  <si>
    <t>Wednesday, June 01, 2022</t>
  </si>
  <si>
    <t>Jun</t>
  </si>
  <si>
    <t>Alex</t>
  </si>
  <si>
    <t>Friday, July 01, 2022</t>
  </si>
  <si>
    <t>Jul</t>
  </si>
  <si>
    <t>Giza</t>
  </si>
  <si>
    <t>Monday, August 01, 2022</t>
  </si>
  <si>
    <t>Aug</t>
  </si>
  <si>
    <t>Yes</t>
  </si>
  <si>
    <t>Thursday, September 01, 2022</t>
  </si>
  <si>
    <t>Sep</t>
  </si>
  <si>
    <t>Mina</t>
  </si>
  <si>
    <t>Saturday, October 01, 2022</t>
  </si>
  <si>
    <t>Oct</t>
  </si>
  <si>
    <t>Air Port</t>
  </si>
  <si>
    <t>Tuesday, November 01, 2022</t>
  </si>
  <si>
    <t>Nov</t>
  </si>
  <si>
    <t>Thursday, December 01, 2022</t>
  </si>
  <si>
    <t>Dec</t>
  </si>
  <si>
    <t>PT</t>
  </si>
  <si>
    <t>Trip</t>
  </si>
  <si>
    <t>Truck</t>
  </si>
  <si>
    <t>Total Trips</t>
  </si>
  <si>
    <t>Count of N</t>
  </si>
  <si>
    <t>Row Labels</t>
  </si>
  <si>
    <t>Count of Hired Transportation</t>
  </si>
  <si>
    <t>Count of Trip Classify</t>
  </si>
  <si>
    <t>Wages</t>
  </si>
  <si>
    <t>Salary</t>
  </si>
  <si>
    <t>Grand Total</t>
  </si>
  <si>
    <t>YES</t>
  </si>
  <si>
    <t>Drivers and Buddy Income per trip classify</t>
  </si>
  <si>
    <t>Sum of Driver wage/trip</t>
  </si>
  <si>
    <t>Sum of Buddy wage/trip</t>
  </si>
  <si>
    <t>Cargo Types</t>
  </si>
  <si>
    <t>Total Expenses</t>
  </si>
  <si>
    <t>Count of Goods</t>
  </si>
  <si>
    <t>Sum of Driver Salary</t>
  </si>
  <si>
    <t>Sum of Buddy Salary</t>
  </si>
  <si>
    <t>Sum of Total Expenses</t>
  </si>
  <si>
    <t>Sum of Total Salary</t>
  </si>
  <si>
    <t>Sum of Total Wages</t>
  </si>
  <si>
    <t>Total Expenses by Month</t>
  </si>
  <si>
    <t>Driver Wage by month(line chart)</t>
  </si>
  <si>
    <t>Buddy wage by month(line chart)</t>
  </si>
  <si>
    <t>Trips by month</t>
  </si>
  <si>
    <t>Sum of Total Expenses by month</t>
  </si>
  <si>
    <t>Total Distance</t>
  </si>
  <si>
    <t>Distance Travelled</t>
  </si>
  <si>
    <t>Sum of Distance (km)</t>
  </si>
  <si>
    <t>Count of Distance Traveled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</si>
</sst>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฿-41E]* #,##0_-;\-[$฿-41E]* #,##0_-;_-[$฿-41E]* &quot;-&quot;??_-;_-@_-"/>
    <numFmt numFmtId="181" formatCode="&quot;₹&quot;\ #,##0"/>
    <numFmt numFmtId="182" formatCode="[$฿-41E]#,##0"/>
  </numFmts>
  <fonts count="2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6"/>
      <color rgb="FFFF0000"/>
      <name val="Calibri"/>
      <charset val="134"/>
      <scheme val="minor"/>
    </font>
    <font>
      <b/>
      <sz val="16"/>
      <color rgb="FFFFFFFF"/>
      <name val="Arial"/>
      <charset val="134"/>
    </font>
    <font>
      <b/>
      <sz val="11"/>
      <color rgb="FFFFFFFF"/>
      <name val="Arial"/>
      <charset val="134"/>
    </font>
    <font>
      <sz val="12"/>
      <color rgb="FF595959"/>
      <name val="Arial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4E6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8515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8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80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1" fontId="0" fillId="0" borderId="0" xfId="2" applyNumberFormat="1" applyFont="1"/>
    <xf numFmtId="1" fontId="0" fillId="0" borderId="0" xfId="0" applyNumberFormat="1"/>
    <xf numFmtId="181" fontId="0" fillId="0" borderId="0" xfId="0" applyNumberFormat="1"/>
    <xf numFmtId="180" fontId="0" fillId="0" borderId="0" xfId="2" applyNumberFormat="1" applyFont="1"/>
    <xf numFmtId="0" fontId="0" fillId="0" borderId="0" xfId="0" applyNumberFormat="1"/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82" fontId="0" fillId="0" borderId="0" xfId="0" applyNumberFormat="1"/>
    <xf numFmtId="0" fontId="5" fillId="5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5" borderId="2" xfId="0" applyNumberFormat="1" applyFont="1" applyFill="1" applyBorder="1" applyAlignment="1">
      <alignment horizontal="center" vertical="center" wrapText="1"/>
    </xf>
    <xf numFmtId="182" fontId="5" fillId="5" borderId="2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Alignment="1">
      <alignment horizontal="center" vertical="center" wrapText="1"/>
    </xf>
    <xf numFmtId="182" fontId="6" fillId="6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182" fontId="6" fillId="0" borderId="0" xfId="0" applyNumberFormat="1" applyFont="1" applyAlignment="1">
      <alignment horizontal="center" vertical="center" wrapText="1"/>
    </xf>
    <xf numFmtId="182" fontId="7" fillId="0" borderId="0" xfId="0" applyNumberFormat="1" applyFont="1" applyAlignment="1">
      <alignment vertical="center" wrapText="1"/>
    </xf>
    <xf numFmtId="182" fontId="7" fillId="6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7"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b val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b val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b val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numFmt numFmtId="180" formatCode="_-[$฿-41E]* #,##0_-;\-[$฿-41E]* #,##0_-;_-[$฿-41E]* &quot;-&quot;??_-;_-@_-"/>
    </dxf>
    <dxf>
      <numFmt numFmtId="180" formatCode="_-[$฿-41E]* #,##0_-;\-[$฿-41E]* #,##0_-;_-[$฿-41E]* &quot;-&quot;??_-;_-@_-"/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numFmt numFmtId="180" formatCode="_-[$฿-41E]* #,##0_-;\-[$฿-41E]* #,##0_-;_-[$฿-41E]* &quot;-&quot;??_-;_-@_-"/>
    </dxf>
    <dxf>
      <numFmt numFmtId="180" formatCode="_-[$฿-41E]* #,##0_-;\-[$฿-41E]* #,##0_-;_-[$฿-41E]* &quot;-&quot;??_-;_-@_-"/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font>
        <b val="1"/>
        <sz val="16"/>
      </font>
    </dxf>
    <dxf>
      <numFmt numFmtId="180" formatCode="_-[$฿-41E]* #,##0_-;\-[$฿-41E]* #,##0_-;_-[$฿-41E]* &quot;-&quot;??_-;_-@_-"/>
    </dxf>
    <dxf>
      <numFmt numFmtId="180" formatCode="_-[$฿-41E]* #,##0_-;\-[$฿-41E]* #,##0_-;_-[$฿-41E]* &quot;-&quot;??_-;_-@_-"/>
    </dxf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b val="1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b val="1"/>
      </font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font>
        <name val="Aptos"/>
        <scheme val="none"/>
        <family val="2"/>
        <b val="0"/>
        <i val="0"/>
        <strike val="0"/>
        <u val="none"/>
        <sz val="12"/>
        <color rgb="FF595959"/>
      </font>
      <alignment horizontal="center" vertical="center" wrapTex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 val="1"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3" defaultTableStyle="TableStyleMedium2" defaultPivotStyle="PivotStyleLight16">
    <tableStyle name="Slicer Style 1" pivot="0" table="0" count="1" xr9:uid="{5C2D1602-5F37-49B4-8BED-2BA99D6FD39A}">
      <tableStyleElement type="wholeTable" dxfId="63"/>
    </tableStyle>
    <tableStyle name="Slicer Style 2" pivot="0" table="0" count="1" xr9:uid="{8424020B-29E1-4D57-9CB3-919C7478A041}">
      <tableStyleElement type="wholeTable" dxfId="64"/>
    </tableStyle>
    <tableStyle name="SlicerStyleDark2 2" pivot="0" table="0" count="10" xr9:uid="{D24CEDC1-8F7F-478B-BF81-FDC688E0477D}">
      <tableStyleElement type="wholeTable" dxfId="66"/>
      <tableStyleElement type="headerRow" dxfId="65"/>
    </tableStyle>
  </tableStyles>
  <colors>
    <mruColors>
      <color rgb="00FF3300"/>
      <color rgb="00FF5050"/>
      <color rgb="00FAFAFA"/>
      <color rgb="00FAF4DF"/>
      <color rgb="00E8E9EC"/>
      <color rgb="00FDFDFD"/>
      <color rgb="00CF5C4A"/>
      <color rgb="0048515F"/>
      <color rgb="00F6F6F6"/>
      <color rgb="00FAF9F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5"/>
              <bgColor theme="5" tint="0.599993896298105"/>
            </patternFill>
          </fill>
          <border>
            <left style="thin">
              <color theme="5" tint="0.599993896298105"/>
            </left>
            <right style="thin">
              <color theme="5" tint="0.599993896298105"/>
            </right>
            <top style="thin">
              <color theme="5" tint="0.599993896298105"/>
            </top>
            <bottom style="thin">
              <color theme="5" tint="0.59999389629810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[Fleet Management Transportation &amp; Logistics  Dashboard using Excel.xlsx]Pivot Table!PivotTable4</c:name>
    <c:fmtId val="3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'Pivot Table'!$K$2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'Pivot Table'!$J$3:$J$5</c:f>
              <c:strCache>
                <c:ptCount val="2"/>
                <c:pt idx="0">
                  <c:v>Far</c:v>
                </c:pt>
                <c:pt idx="1">
                  <c:v>Regular</c:v>
                </c:pt>
              </c:strCache>
            </c:strRef>
          </c:cat>
          <c:val>
            <c:numRef>
              <c:f>'Pivot Table'!$K$3:$K$5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0613b9-7153-4daf-a0a1-5c3d8c0fa79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 b="1" cap="none" spc="0">
          <a:ln w="22225">
            <a:solidFill>
              <a:schemeClr val="accent2"/>
            </a:solidFill>
            <a:prstDash val="solid"/>
          </a:ln>
          <a:solidFill>
            <a:schemeClr val="accent2">
              <a:lumMod val="40000"/>
              <a:lumOff val="60000"/>
            </a:schemeClr>
          </a:solidFill>
          <a:effectLst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 Management Transportation &amp; Logistics  Dashboard using Excel.xlsx]Pivot Table!PivotTable5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482456306967919"/>
          <c:y val="0.122605437961467"/>
          <c:w val="0.903508738606416"/>
          <c:h val="0.6668456673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Table'!$C$8</c:f>
              <c:strCache>
                <c:ptCount val="1"/>
                <c:pt idx="0">
                  <c:v>Sum of Driver wage/trip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Table'!$B$9:$B$12</c:f>
              <c:strCache>
                <c:ptCount val="3"/>
                <c:pt idx="0">
                  <c:v>Close</c:v>
                </c:pt>
                <c:pt idx="1">
                  <c:v>Far</c:v>
                </c:pt>
                <c:pt idx="2">
                  <c:v>Regular</c:v>
                </c:pt>
              </c:strCache>
            </c:strRef>
          </c:cat>
          <c:val>
            <c:numRef>
              <c:f>'Pivot Table'!$C$9:$C$12</c:f>
              <c:numCache>
                <c:formatCode>General</c:formatCode>
                <c:ptCount val="3"/>
                <c:pt idx="0">
                  <c:v>6400</c:v>
                </c:pt>
                <c:pt idx="1">
                  <c:v>4000</c:v>
                </c:pt>
                <c:pt idx="2">
                  <c:v>800</c:v>
                </c:pt>
              </c:numCache>
            </c:numRef>
          </c:val>
        </c:ser>
        <c:ser>
          <c:idx val="1"/>
          <c:order val="1"/>
          <c:tx>
            <c:strRef>
              <c:f>'Pivot Table'!$D$8</c:f>
              <c:strCache>
                <c:ptCount val="1"/>
                <c:pt idx="0">
                  <c:v>Sum of Buddy wage/trip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Table'!$B$9:$B$12</c:f>
              <c:strCache>
                <c:ptCount val="3"/>
                <c:pt idx="0">
                  <c:v>Close</c:v>
                </c:pt>
                <c:pt idx="1">
                  <c:v>Far</c:v>
                </c:pt>
                <c:pt idx="2">
                  <c:v>Regular</c:v>
                </c:pt>
              </c:strCache>
            </c:strRef>
          </c:cat>
          <c:val>
            <c:numRef>
              <c:f>'Pivot Table'!$D$9:$D$12</c:f>
              <c:numCache>
                <c:formatCode>General</c:formatCode>
                <c:ptCount val="3"/>
                <c:pt idx="0">
                  <c:v>3100</c:v>
                </c:pt>
                <c:pt idx="1">
                  <c:v>600</c:v>
                </c:pt>
                <c:pt idx="2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-14"/>
        <c:axId val="1530489424"/>
        <c:axId val="1530492304"/>
      </c:barChart>
      <c:catAx>
        <c:axId val="153048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492304"/>
        <c:crosses val="autoZero"/>
        <c:auto val="1"/>
        <c:lblAlgn val="ctr"/>
        <c:lblOffset val="100"/>
        <c:noMultiLvlLbl val="0"/>
      </c:catAx>
      <c:valAx>
        <c:axId val="153049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48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12c196-5486-4408-ba05-fb15564e1a9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[Fleet Management Transportation &amp; Logistics  Dashboard using Excel.xlsx]Pivot Table!PivotTable6</c:name>
    <c:fmtId val="9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Table'!$F$11:$F$13</c:f>
              <c:strCache>
                <c:ptCount val="2"/>
                <c:pt idx="0">
                  <c:v>Woodchip</c:v>
                </c:pt>
                <c:pt idx="1">
                  <c:v>Woodpellet</c:v>
                </c:pt>
              </c:strCache>
            </c:strRef>
          </c:cat>
          <c:val>
            <c:numRef>
              <c:f>'Pivot Table'!$G$11:$G$13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100"/>
        <c:axId val="1762685584"/>
        <c:axId val="1762684144"/>
      </c:barChart>
      <c:catAx>
        <c:axId val="1762685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2684144"/>
        <c:crosses val="autoZero"/>
        <c:auto val="1"/>
        <c:lblAlgn val="ctr"/>
        <c:lblOffset val="100"/>
        <c:noMultiLvlLbl val="0"/>
      </c:catAx>
      <c:valAx>
        <c:axId val="1762684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26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f65355-9491-4edf-81a8-1101ea82bef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 Management Transportation &amp; Logistics  Dashboard using Excel.xlsx]Pivot Table!PivotTable7</c:name>
    <c:fmtId val="9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Table'!$C$20:$C$32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Table'!$D$20:$D$32</c:f>
              <c:numCache>
                <c:formatCode>_-[$฿-41E]* #,##0_-;\-[$฿-41E]* #,##0_-;_-[$฿-41E]* "-"??_-;_-@_-</c:formatCode>
                <c:ptCount val="12"/>
                <c:pt idx="0">
                  <c:v>3200</c:v>
                </c:pt>
                <c:pt idx="1">
                  <c:v>2000</c:v>
                </c:pt>
                <c:pt idx="2">
                  <c:v>4000</c:v>
                </c:pt>
                <c:pt idx="3">
                  <c:v>1000</c:v>
                </c:pt>
                <c:pt idx="4">
                  <c:v>1400</c:v>
                </c:pt>
                <c:pt idx="5">
                  <c:v>3600</c:v>
                </c:pt>
                <c:pt idx="6">
                  <c:v>2200</c:v>
                </c:pt>
                <c:pt idx="7">
                  <c:v>2500</c:v>
                </c:pt>
                <c:pt idx="8">
                  <c:v>1000</c:v>
                </c:pt>
                <c:pt idx="9">
                  <c:v>3700</c:v>
                </c:pt>
                <c:pt idx="10">
                  <c:v>1600</c:v>
                </c:pt>
                <c:pt idx="11">
                  <c:v>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41"/>
        <c:axId val="2040131280"/>
        <c:axId val="2040137040"/>
      </c:barChart>
      <c:catAx>
        <c:axId val="204013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0137040"/>
        <c:crosses val="autoZero"/>
        <c:auto val="1"/>
        <c:lblAlgn val="ctr"/>
        <c:lblOffset val="100"/>
        <c:noMultiLvlLbl val="0"/>
      </c:catAx>
      <c:valAx>
        <c:axId val="2040137040"/>
        <c:scaling>
          <c:orientation val="minMax"/>
        </c:scaling>
        <c:delete val="1"/>
        <c:axPos val="l"/>
        <c:numFmt formatCode="_-[$฿-41E]* #,##0_-;\-[$฿-41E]* #,##0_-;_-[$฿-41E]* &quot;-&quot;??_-;_-@_-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013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00da84-3cac-4c41-9e6b-81fd7f83058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 Management Transportation &amp; Logistics  Dashboard using Excel.xlsx]Pivot Table!PivotTable8</c:name>
    <c:fmtId val="15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Table'!$G$19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Table'!$F$20:$F$32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Table'!$G$20:$G$32</c:f>
              <c:numCache>
                <c:formatCode>_-[$฿-41E]* #,##0_-;\-[$฿-41E]* #,##0_-;_-[$฿-41E]* "-"??_-;_-@_-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2200</c:v>
                </c:pt>
                <c:pt idx="3">
                  <c:v>400</c:v>
                </c:pt>
                <c:pt idx="4">
                  <c:v>600</c:v>
                </c:pt>
                <c:pt idx="5">
                  <c:v>1600</c:v>
                </c:pt>
                <c:pt idx="6">
                  <c:v>800</c:v>
                </c:pt>
                <c:pt idx="7">
                  <c:v>1200</c:v>
                </c:pt>
                <c:pt idx="8">
                  <c:v>400</c:v>
                </c:pt>
                <c:pt idx="9">
                  <c:v>1600</c:v>
                </c:pt>
                <c:pt idx="10">
                  <c:v>400</c:v>
                </c:pt>
                <c:pt idx="11">
                  <c:v>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0149936"/>
        <c:axId val="280148496"/>
      </c:lineChart>
      <c:catAx>
        <c:axId val="280149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148496"/>
        <c:crosses val="autoZero"/>
        <c:auto val="1"/>
        <c:lblAlgn val="ctr"/>
        <c:lblOffset val="100"/>
        <c:noMultiLvlLbl val="0"/>
      </c:catAx>
      <c:valAx>
        <c:axId val="280148496"/>
        <c:scaling>
          <c:orientation val="minMax"/>
        </c:scaling>
        <c:delete val="1"/>
        <c:axPos val="l"/>
        <c:numFmt formatCode="_-[$฿-41E]* #,##0_-;\-[$฿-41E]* #,##0_-;_-[$฿-41E]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14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ff56fa-ee6a-4e4b-807a-64fd370b7cb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 Management Transportation &amp; Logistics  Dashboard using Excel.xlsx]Pivot Table!PivotTable9</c:name>
    <c:fmtId val="2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Table'!$J$19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Table'!$I$20:$I$32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Table'!$J$20:$J$32</c:f>
              <c:numCache>
                <c:formatCode>_-[$฿-41E]* #,##0_-;\-[$฿-41E]* #,##0_-;_-[$฿-41E]* "-"??_-;_-@_-</c:formatCode>
                <c:ptCount val="12"/>
                <c:pt idx="0">
                  <c:v>800</c:v>
                </c:pt>
                <c:pt idx="1">
                  <c:v>200</c:v>
                </c:pt>
                <c:pt idx="2">
                  <c:v>400</c:v>
                </c:pt>
                <c:pt idx="3">
                  <c:v>100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300</c:v>
                </c:pt>
                <c:pt idx="8">
                  <c:v>100</c:v>
                </c:pt>
                <c:pt idx="9">
                  <c:v>900</c:v>
                </c:pt>
                <c:pt idx="10">
                  <c:v>400</c:v>
                </c:pt>
                <c:pt idx="11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0125936"/>
        <c:axId val="280136496"/>
      </c:lineChart>
      <c:catAx>
        <c:axId val="280125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136496"/>
        <c:crosses val="autoZero"/>
        <c:auto val="1"/>
        <c:lblAlgn val="ctr"/>
        <c:lblOffset val="100"/>
        <c:noMultiLvlLbl val="0"/>
      </c:catAx>
      <c:valAx>
        <c:axId val="280136496"/>
        <c:scaling>
          <c:orientation val="minMax"/>
        </c:scaling>
        <c:delete val="1"/>
        <c:axPos val="l"/>
        <c:numFmt formatCode="_-[$฿-41E]* #,##0_-;\-[$฿-41E]* #,##0_-;_-[$฿-41E]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12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b89364-8302-42b1-b1ec-d592af5791d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3300"/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'Pivot Table'!$M$2:$M$3</c:f>
              <c:strCache>
                <c:ptCount val="2"/>
                <c:pt idx="0">
                  <c:v>Wages</c:v>
                </c:pt>
                <c:pt idx="1">
                  <c:v>Salary</c:v>
                </c:pt>
              </c:strCache>
            </c:strRef>
          </c:cat>
          <c:val>
            <c:numRef>
              <c:f>'Pivot Table'!$N$2:$N$3</c:f>
              <c:numCache>
                <c:formatCode>_-[$฿-41E]* #,##0_-;\-[$฿-41E]* #,##0_-;_-[$฿-41E]* "-"??_-;_-@_-</c:formatCode>
                <c:ptCount val="2"/>
                <c:pt idx="0">
                  <c:v>15100</c:v>
                </c:pt>
                <c:pt idx="1">
                  <c:v>12100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9d3de92-4ce7-4019-8345-9179f047fb1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3300"/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'Pivot Table'!$M$4:$M$5</c:f>
              <c:strCache>
                <c:ptCount val="2"/>
                <c:pt idx="0">
                  <c:v>Salary</c:v>
                </c:pt>
                <c:pt idx="1">
                  <c:v>Wages</c:v>
                </c:pt>
              </c:strCache>
            </c:strRef>
          </c:cat>
          <c:val>
            <c:numRef>
              <c:f>'Pivot Table'!$N$4:$N$5</c:f>
              <c:numCache>
                <c:formatCode>_-[$฿-41E]* #,##0_-;\-[$฿-41E]* #,##0_-;_-[$฿-41E]* "-"??_-;_-@_-</c:formatCode>
                <c:ptCount val="2"/>
                <c:pt idx="0">
                  <c:v>12100</c:v>
                </c:pt>
                <c:pt idx="1">
                  <c:v>15100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891646-f5ed-4b6e-98a4-e23fa3649b6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 Management Transportation &amp; Logistics  Dashboard using Excel.xlsx]Pivot Table!PivotTable10</c:name>
    <c:fmtId val="14"/>
  </c:pivotSource>
  <c:chart>
    <c:autoTitleDeleted val="1"/>
    <c:plotArea>
      <c:layout>
        <c:manualLayout>
          <c:layoutTarget val="inner"/>
          <c:xMode val="edge"/>
          <c:yMode val="edge"/>
          <c:x val="0.0305555555555556"/>
          <c:y val="0.0509259259259259"/>
          <c:w val="0.938888888888889"/>
          <c:h val="0.71885495810203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Table'!$M$19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F3300"/>
              </a:solidFill>
              <a:round/>
              <a:headEnd type="none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Table'!$L$20:$L$32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Table'!$M$20:$M$32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11120480"/>
        <c:axId val="1611121920"/>
      </c:lineChart>
      <c:catAx>
        <c:axId val="161112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11121920"/>
        <c:crosses val="autoZero"/>
        <c:auto val="1"/>
        <c:lblAlgn val="ctr"/>
        <c:lblOffset val="100"/>
        <c:noMultiLvlLbl val="0"/>
      </c:catAx>
      <c:valAx>
        <c:axId val="1611121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11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c70e1e-7eac-4a5d-88e1-f21b155fe98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f84d6d6-b61f-41bb-8a49-a67e621da4f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4" Type="http://schemas.openxmlformats.org/officeDocument/2006/relationships/image" Target="../media/image14.jpeg"/><Relationship Id="rId23" Type="http://schemas.openxmlformats.org/officeDocument/2006/relationships/image" Target="../media/image13.jpeg"/><Relationship Id="rId22" Type="http://schemas.openxmlformats.org/officeDocument/2006/relationships/image" Target="../media/image12.webp"/><Relationship Id="rId21" Type="http://schemas.openxmlformats.org/officeDocument/2006/relationships/image" Target="../media/image11.svg"/><Relationship Id="rId20" Type="http://schemas.openxmlformats.org/officeDocument/2006/relationships/image" Target="../media/image10.png"/><Relationship Id="rId2" Type="http://schemas.openxmlformats.org/officeDocument/2006/relationships/chart" Target="../charts/chart2.xml"/><Relationship Id="rId19" Type="http://schemas.openxmlformats.org/officeDocument/2006/relationships/image" Target="../media/image9.wdp"/><Relationship Id="rId18" Type="http://schemas.openxmlformats.org/officeDocument/2006/relationships/image" Target="../media/image8.png"/><Relationship Id="rId17" Type="http://schemas.openxmlformats.org/officeDocument/2006/relationships/image" Target="../media/image7.wdp"/><Relationship Id="rId16" Type="http://schemas.openxmlformats.org/officeDocument/2006/relationships/image" Target="../media/image6.png"/><Relationship Id="rId15" Type="http://schemas.openxmlformats.org/officeDocument/2006/relationships/image" Target="../media/image5.svg"/><Relationship Id="rId14" Type="http://schemas.openxmlformats.org/officeDocument/2006/relationships/image" Target="../media/image4.png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1" Type="http://schemas.openxmlformats.org/officeDocument/2006/relationships/hyperlink" Target="#Schedule!A1"/><Relationship Id="rId10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7.wdp"/><Relationship Id="rId8" Type="http://schemas.openxmlformats.org/officeDocument/2006/relationships/image" Target="../media/image6.png"/><Relationship Id="rId7" Type="http://schemas.openxmlformats.org/officeDocument/2006/relationships/image" Target="../media/image5.sv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hyperlink" Target="#Dashboard!A1"/><Relationship Id="rId2" Type="http://schemas.openxmlformats.org/officeDocument/2006/relationships/image" Target="../media/image1.jpeg"/><Relationship Id="rId12" Type="http://schemas.openxmlformats.org/officeDocument/2006/relationships/image" Target="../media/image15.emf"/><Relationship Id="rId11" Type="http://schemas.openxmlformats.org/officeDocument/2006/relationships/image" Target="../media/image9.wdp"/><Relationship Id="rId10" Type="http://schemas.openxmlformats.org/officeDocument/2006/relationships/image" Target="../media/image8.png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161928</xdr:colOff>
      <xdr:row>0</xdr:row>
      <xdr:rowOff>0</xdr:rowOff>
    </xdr:from>
    <xdr:to>
      <xdr:col>29</xdr:col>
      <xdr:colOff>152400</xdr:colOff>
      <xdr:row>39</xdr:row>
      <xdr:rowOff>133348</xdr:rowOff>
    </xdr:to>
    <xdr:grpSp>
      <xdr:nvGrpSpPr>
        <xdr:cNvPr id="109" name="Group 108"/>
        <xdr:cNvGrpSpPr/>
      </xdr:nvGrpSpPr>
      <xdr:grpSpPr>
        <a:xfrm>
          <a:off x="161925" y="0"/>
          <a:ext cx="17668875" cy="7562215"/>
          <a:chOff x="161928" y="0"/>
          <a:chExt cx="17668872" cy="7562848"/>
        </a:xfrm>
      </xdr:grpSpPr>
      <xdr:sp>
        <xdr:nvSpPr>
          <xdr:cNvPr id="5" name="Rectangle 4"/>
          <xdr:cNvSpPr/>
        </xdr:nvSpPr>
        <xdr:spPr>
          <a:xfrm>
            <a:off x="2110790" y="95249"/>
            <a:ext cx="12666871" cy="45719"/>
          </a:xfrm>
          <a:prstGeom prst="rect">
            <a:avLst/>
          </a:prstGeom>
          <a:solidFill>
            <a:srgbClr val="EFEFF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4" name="Rectangle 3"/>
          <xdr:cNvSpPr/>
        </xdr:nvSpPr>
        <xdr:spPr>
          <a:xfrm>
            <a:off x="2113923" y="7430499"/>
            <a:ext cx="12682538" cy="94249"/>
          </a:xfrm>
          <a:prstGeom prst="rect">
            <a:avLst/>
          </a:prstGeom>
          <a:solidFill>
            <a:srgbClr val="EFEFF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pSp>
        <xdr:nvGrpSpPr>
          <xdr:cNvPr id="12" name="Group 11"/>
          <xdr:cNvGrpSpPr/>
        </xdr:nvGrpSpPr>
        <xdr:grpSpPr>
          <a:xfrm>
            <a:off x="161928" y="133349"/>
            <a:ext cx="17545046" cy="7429499"/>
            <a:chOff x="161928" y="95249"/>
            <a:chExt cx="17545046" cy="7429499"/>
          </a:xfrm>
        </xdr:grpSpPr>
        <xdr:grpSp>
          <xdr:nvGrpSpPr>
            <xdr:cNvPr id="8" name="Group 7"/>
            <xdr:cNvGrpSpPr/>
          </xdr:nvGrpSpPr>
          <xdr:grpSpPr>
            <a:xfrm>
              <a:off x="161928" y="95249"/>
              <a:ext cx="1952627" cy="7429499"/>
              <a:chOff x="161928" y="95249"/>
              <a:chExt cx="1952627" cy="7429499"/>
            </a:xfrm>
          </xdr:grpSpPr>
          <xdr:sp>
            <xdr:nvSpPr>
              <xdr:cNvPr id="2" name="Rectangle: Top Corners Rounded 1"/>
              <xdr:cNvSpPr/>
            </xdr:nvSpPr>
            <xdr:spPr>
              <a:xfrm rot="16200000">
                <a:off x="-2576508" y="2833685"/>
                <a:ext cx="7429499" cy="1952627"/>
              </a:xfrm>
              <a:prstGeom prst="round2SameRect">
                <a:avLst/>
              </a:prstGeom>
              <a:solidFill>
                <a:srgbClr val="EFEFF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  <xdr:sp>
            <xdr:nvSpPr>
              <xdr:cNvPr id="3" name="Rectangle: Top Corners Rounded 2"/>
              <xdr:cNvSpPr/>
            </xdr:nvSpPr>
            <xdr:spPr>
              <a:xfrm rot="16200000">
                <a:off x="-2435040" y="2880289"/>
                <a:ext cx="7279909" cy="1819280"/>
              </a:xfrm>
              <a:prstGeom prst="round2Same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</xdr:grpSp>
        <xdr:sp>
          <xdr:nvSpPr>
            <xdr:cNvPr id="6" name="Rectangle 5"/>
            <xdr:cNvSpPr/>
          </xdr:nvSpPr>
          <xdr:spPr>
            <a:xfrm>
              <a:off x="2121685" y="155648"/>
              <a:ext cx="12667507" cy="2067312"/>
            </a:xfrm>
            <a:prstGeom prst="rect">
              <a:avLst/>
            </a:prstGeom>
            <a:gradFill flip="none" rotWithShape="1">
              <a:gsLst>
                <a:gs pos="1000">
                  <a:srgbClr val="20375A"/>
                </a:gs>
                <a:gs pos="48000">
                  <a:srgbClr val="152031"/>
                </a:gs>
                <a:gs pos="100000">
                  <a:srgbClr val="20375A"/>
                </a:gs>
              </a:gsLst>
              <a:lin ang="13200000" scaled="0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kern="1200"/>
            </a:p>
          </xdr:txBody>
        </xdr:sp>
        <xdr:sp>
          <xdr:nvSpPr>
            <xdr:cNvPr id="7" name="Rectangle 6"/>
            <xdr:cNvSpPr/>
          </xdr:nvSpPr>
          <xdr:spPr>
            <a:xfrm>
              <a:off x="2106879" y="2229100"/>
              <a:ext cx="12689647" cy="5203597"/>
            </a:xfrm>
            <a:prstGeom prst="rect">
              <a:avLst/>
            </a:prstGeom>
            <a:solidFill>
              <a:srgbClr val="E8E9E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kern="1200"/>
            </a:p>
          </xdr:txBody>
        </xdr:sp>
        <xdr:grpSp>
          <xdr:nvGrpSpPr>
            <xdr:cNvPr id="9" name="Group 8"/>
            <xdr:cNvGrpSpPr/>
          </xdr:nvGrpSpPr>
          <xdr:grpSpPr>
            <a:xfrm flipH="1">
              <a:off x="14773277" y="95249"/>
              <a:ext cx="2933697" cy="7429499"/>
              <a:chOff x="161928" y="95249"/>
              <a:chExt cx="1952627" cy="7429499"/>
            </a:xfrm>
          </xdr:grpSpPr>
          <xdr:sp>
            <xdr:nvSpPr>
              <xdr:cNvPr id="10" name="Rectangle: Top Corners Rounded 9"/>
              <xdr:cNvSpPr/>
            </xdr:nvSpPr>
            <xdr:spPr>
              <a:xfrm rot="16200000">
                <a:off x="-2576508" y="2833685"/>
                <a:ext cx="7429499" cy="1952627"/>
              </a:xfrm>
              <a:prstGeom prst="round2SameRect">
                <a:avLst>
                  <a:gd name="adj1" fmla="val 10173"/>
                  <a:gd name="adj2" fmla="val 0"/>
                </a:avLst>
              </a:prstGeom>
              <a:solidFill>
                <a:srgbClr val="EFEFF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  <xdr:sp>
            <xdr:nvSpPr>
              <xdr:cNvPr id="11" name="Rectangle: Top Corners Rounded 10"/>
              <xdr:cNvSpPr/>
            </xdr:nvSpPr>
            <xdr:spPr>
              <a:xfrm rot="16200000">
                <a:off x="-2435040" y="2880289"/>
                <a:ext cx="7279909" cy="1819280"/>
              </a:xfrm>
              <a:prstGeom prst="round2Same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</xdr:grpSp>
      </xdr:grpSp>
      <xdr:pic>
        <xdr:nvPicPr>
          <xdr:cNvPr id="14" name="Picture 1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8368" y="295276"/>
            <a:ext cx="1125466" cy="904874"/>
          </a:xfrm>
          <a:prstGeom prst="rect">
            <a:avLst/>
          </a:prstGeom>
        </xdr:spPr>
      </xdr:pic>
      <xdr:sp>
        <xdr:nvSpPr>
          <xdr:cNvPr id="17" name="TextBox 16">
            <a:hlinkClick xmlns:r="http://schemas.openxmlformats.org/officeDocument/2006/relationships" r:id="rId11"/>
          </xdr:cNvPr>
          <xdr:cNvSpPr txBox="1"/>
        </xdr:nvSpPr>
        <xdr:spPr>
          <a:xfrm>
            <a:off x="554832" y="1952625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Schedule</a:t>
            </a:r>
            <a:endParaRPr lang="en-IN" sz="11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18" name="Rectangle: Rounded Corners 17"/>
          <xdr:cNvSpPr/>
        </xdr:nvSpPr>
        <xdr:spPr>
          <a:xfrm>
            <a:off x="457200" y="1309688"/>
            <a:ext cx="1371600" cy="371475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15" name="TextBox 14"/>
          <xdr:cNvSpPr txBox="1"/>
        </xdr:nvSpPr>
        <xdr:spPr>
          <a:xfrm>
            <a:off x="554832" y="1343025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Dashboard</a:t>
            </a:r>
            <a:endParaRPr lang="en-IN" sz="11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20" name="Rectangle: Top Corners Rounded 19"/>
          <xdr:cNvSpPr/>
        </xdr:nvSpPr>
        <xdr:spPr>
          <a:xfrm rot="5400000">
            <a:off x="157501" y="1467180"/>
            <a:ext cx="360000" cy="6345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CF5C4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>
        <xdr:nvSpPr>
          <xdr:cNvPr id="21" name="TextBox 20"/>
          <xdr:cNvSpPr txBox="1"/>
        </xdr:nvSpPr>
        <xdr:spPr>
          <a:xfrm>
            <a:off x="2205038" y="180976"/>
            <a:ext cx="5262561" cy="704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8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Fleet</a:t>
            </a:r>
            <a:r>
              <a:rPr lang="en-IN" sz="1800" b="1" kern="1200" baseline="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 Management Transportation and Logistics Dashboard </a:t>
            </a:r>
            <a:r>
              <a:rPr lang="en-IN" sz="1100" b="1" kern="1200" baseline="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2022</a:t>
            </a:r>
            <a:endParaRPr lang="en-IN" sz="1100" b="1" kern="12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22" name="TextBox 21"/>
          <xdr:cNvSpPr txBox="1"/>
        </xdr:nvSpPr>
        <xdr:spPr>
          <a:xfrm>
            <a:off x="2205038" y="952500"/>
            <a:ext cx="1509712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Overview</a:t>
            </a:r>
            <a:endParaRPr lang="en-IN" sz="2400" b="1" kern="12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24" name="Picture 23"/>
          <xdr:cNvPicPr>
            <a:picLocks noChangeAspect="1"/>
          </xdr:cNvPicPr>
        </xdr:nvPicPr>
        <xdr:blipFill>
          <a:blip r:embed="rId1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49325" y="217711"/>
            <a:ext cx="1085850" cy="1849214"/>
          </a:xfrm>
          <a:prstGeom prst="rect">
            <a:avLst/>
          </a:prstGeom>
        </xdr:spPr>
      </xdr:pic>
      <xdr:sp>
        <xdr:nvSpPr>
          <xdr:cNvPr id="26" name="Oval 25"/>
          <xdr:cNvSpPr/>
        </xdr:nvSpPr>
        <xdr:spPr>
          <a:xfrm>
            <a:off x="13858874" y="1666875"/>
            <a:ext cx="57152" cy="57150"/>
          </a:xfrm>
          <a:prstGeom prst="ellipse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pSp>
        <xdr:nvGrpSpPr>
          <xdr:cNvPr id="30" name="Group 29"/>
          <xdr:cNvGrpSpPr/>
        </xdr:nvGrpSpPr>
        <xdr:grpSpPr>
          <a:xfrm>
            <a:off x="12568238" y="968513"/>
            <a:ext cx="1176337" cy="431662"/>
            <a:chOff x="12568238" y="968513"/>
            <a:chExt cx="1176337" cy="431662"/>
          </a:xfrm>
        </xdr:grpSpPr>
        <xdr:sp>
          <xdr:nvSpPr>
            <xdr:cNvPr id="25" name="TextBox 24"/>
            <xdr:cNvSpPr txBox="1"/>
          </xdr:nvSpPr>
          <xdr:spPr>
            <a:xfrm>
              <a:off x="12568238" y="1171575"/>
              <a:ext cx="1176337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 kern="1200">
                  <a:solidFill>
                    <a:schemeClr val="bg1">
                      <a:lumMod val="9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Sadao,Thailand</a:t>
              </a:r>
              <a:endParaRPr lang="en-IN" sz="11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28" name="Picture 27"/>
            <xdr:cNvPicPr>
              <a:picLocks noChangeAspect="1"/>
            </xdr:cNvPicPr>
          </xdr:nvPicPr>
          <xdr:blipFill>
            <a:blip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696825" y="968513"/>
              <a:ext cx="333375" cy="222111"/>
            </a:xfrm>
            <a:prstGeom prst="rect">
              <a:avLst/>
            </a:prstGeom>
          </xdr:spPr>
        </xdr:pic>
      </xdr:grpSp>
      <xdr:sp>
        <xdr:nvSpPr>
          <xdr:cNvPr id="34" name="Rectangle: Rounded Corners 33"/>
          <xdr:cNvSpPr/>
        </xdr:nvSpPr>
        <xdr:spPr>
          <a:xfrm>
            <a:off x="2838449" y="1447800"/>
            <a:ext cx="2752725" cy="1438276"/>
          </a:xfrm>
          <a:prstGeom prst="roundRect">
            <a:avLst/>
          </a:prstGeom>
          <a:gradFill flip="none" rotWithShape="1">
            <a:gsLst>
              <a:gs pos="0">
                <a:srgbClr val="E8E9EC"/>
              </a:gs>
              <a:gs pos="100000">
                <a:srgbClr val="FDFDFD"/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38" name="Rectangle: Rounded Corners 37"/>
          <xdr:cNvSpPr/>
        </xdr:nvSpPr>
        <xdr:spPr>
          <a:xfrm>
            <a:off x="6131719" y="1447800"/>
            <a:ext cx="2752725" cy="1438276"/>
          </a:xfrm>
          <a:prstGeom prst="roundRect">
            <a:avLst/>
          </a:prstGeom>
          <a:gradFill flip="none" rotWithShape="1">
            <a:gsLst>
              <a:gs pos="0">
                <a:srgbClr val="E8E9EC"/>
              </a:gs>
              <a:gs pos="100000">
                <a:srgbClr val="FDFDFD"/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39" name="Rectangle: Rounded Corners 38"/>
          <xdr:cNvSpPr/>
        </xdr:nvSpPr>
        <xdr:spPr>
          <a:xfrm>
            <a:off x="9436893" y="1447800"/>
            <a:ext cx="2752725" cy="1438276"/>
          </a:xfrm>
          <a:prstGeom prst="roundRect">
            <a:avLst/>
          </a:prstGeom>
          <a:gradFill flip="none" rotWithShape="1">
            <a:gsLst>
              <a:gs pos="0">
                <a:srgbClr val="E8E9EC"/>
              </a:gs>
              <a:gs pos="100000">
                <a:srgbClr val="FDFDFD"/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45" name="Rectangle: Rounded Corners 44"/>
          <xdr:cNvSpPr/>
        </xdr:nvSpPr>
        <xdr:spPr>
          <a:xfrm>
            <a:off x="8630841" y="5183981"/>
            <a:ext cx="5494734" cy="19978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56" name="Rectangle: Rounded Corners 55"/>
          <xdr:cNvSpPr/>
        </xdr:nvSpPr>
        <xdr:spPr>
          <a:xfrm>
            <a:off x="2972991" y="5183981"/>
            <a:ext cx="5494734" cy="19978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59" name="Rectangle: Rounded Corners 58"/>
          <xdr:cNvSpPr/>
        </xdr:nvSpPr>
        <xdr:spPr>
          <a:xfrm>
            <a:off x="2972991" y="3002756"/>
            <a:ext cx="5494734" cy="19978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60" name="Rectangle: Rounded Corners 59"/>
          <xdr:cNvSpPr/>
        </xdr:nvSpPr>
        <xdr:spPr>
          <a:xfrm>
            <a:off x="8630841" y="3002756"/>
            <a:ext cx="5494734" cy="19978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61" name="Rectangle: Rounded Corners 60"/>
          <xdr:cNvSpPr/>
        </xdr:nvSpPr>
        <xdr:spPr>
          <a:xfrm>
            <a:off x="14925675" y="242886"/>
            <a:ext cx="2495550" cy="1245561"/>
          </a:xfrm>
          <a:prstGeom prst="roundRect">
            <a:avLst/>
          </a:prstGeom>
          <a:solidFill>
            <a:srgbClr val="FAF4D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62" name="TextBox 61"/>
          <xdr:cNvSpPr txBox="1"/>
        </xdr:nvSpPr>
        <xdr:spPr>
          <a:xfrm>
            <a:off x="15472172" y="342900"/>
            <a:ext cx="1402556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20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Trips</a:t>
            </a:r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C3">
        <xdr:nvSpPr>
          <xdr:cNvPr id="65" name="TextBox 64"/>
          <xdr:cNvSpPr txBox="1"/>
        </xdr:nvSpPr>
        <xdr:spPr>
          <a:xfrm>
            <a:off x="15875794" y="685800"/>
            <a:ext cx="57626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3A5CF8-1F53-4F6A-A858-76B948B8619C}" type="TxLink">
              <a:rPr lang="en-US" sz="24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4</a:t>
            </a:fld>
            <a:endParaRPr lang="en-IN" sz="24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77" name="TextBox 76"/>
          <xdr:cNvSpPr txBox="1"/>
        </xdr:nvSpPr>
        <xdr:spPr>
          <a:xfrm>
            <a:off x="14963776" y="1042988"/>
            <a:ext cx="1638300" cy="266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Hired</a:t>
            </a:r>
            <a:r>
              <a:rPr lang="en-IN" sz="12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Transportation</a:t>
            </a:r>
            <a:endParaRPr lang="en-IN" sz="12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H4">
        <xdr:nvSpPr>
          <xdr:cNvPr id="78" name="TextBox 77"/>
          <xdr:cNvSpPr txBox="1"/>
        </xdr:nvSpPr>
        <xdr:spPr>
          <a:xfrm>
            <a:off x="16516351" y="1066800"/>
            <a:ext cx="238124" cy="219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1AC8B8D-C0E3-48C8-8DE3-4507187260D4}" type="TxLink">
              <a:rPr lang="en-US" sz="1800" b="1" i="0" u="none" strike="noStrike" kern="1200">
                <a:solidFill>
                  <a:srgbClr val="FF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#N/A</a:t>
            </a:fld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80" name="Graphic 79"/>
          <xdr:cNvPicPr>
            <a:picLocks noChangeAspect="1"/>
          </xdr:cNvPicPr>
        </xdr:nvPicPr>
        <xdr:blipFill>
          <a:blip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rcRect r="60000"/>
          <a:stretch>
            <a:fillRect/>
          </a:stretch>
        </xdr:blipFill>
        <xdr:spPr>
          <a:xfrm>
            <a:off x="16849725" y="0"/>
            <a:ext cx="590550" cy="1495425"/>
          </a:xfrm>
          <a:prstGeom prst="rect">
            <a:avLst/>
          </a:prstGeom>
        </xdr:spPr>
      </xdr:pic>
      <xdr:sp textlink="'Pivot Table'!H4">
        <xdr:nvSpPr>
          <xdr:cNvPr id="81" name="TextBox 80"/>
          <xdr:cNvSpPr txBox="1"/>
        </xdr:nvSpPr>
        <xdr:spPr>
          <a:xfrm>
            <a:off x="16573501" y="1047749"/>
            <a:ext cx="828674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B962C8B-B14F-4D97-AF65-F5344CB8AC3E}" type="TxLink">
              <a:rPr lang="en-US" sz="1800" b="0" i="0" u="none" strike="noStrike" kern="1200">
                <a:solidFill>
                  <a:srgbClr val="FF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#N/A</a:t>
            </a:fld>
            <a:endParaRPr lang="en-IN" sz="1400" b="0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82" name="TextBox 81"/>
          <xdr:cNvSpPr txBox="1"/>
        </xdr:nvSpPr>
        <xdr:spPr>
          <a:xfrm>
            <a:off x="290514" y="2438400"/>
            <a:ext cx="86201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600" b="1" kern="1200">
                <a:solidFill>
                  <a:srgbClr val="FF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Drivers</a:t>
            </a:r>
            <a:endParaRPr lang="en-IN" sz="1100" b="1" kern="1200">
              <a:solidFill>
                <a:srgbClr val="FF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83" name="TextBox 82"/>
          <xdr:cNvSpPr txBox="1"/>
        </xdr:nvSpPr>
        <xdr:spPr>
          <a:xfrm>
            <a:off x="290514" y="4152900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600" b="1" kern="1200">
                <a:solidFill>
                  <a:srgbClr val="FF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Months</a:t>
            </a:r>
            <a:endParaRPr lang="en-IN" sz="1100" b="1" kern="1200">
              <a:solidFill>
                <a:srgbClr val="FF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84" name="Drivers"/>
              <xdr:cNvGraphicFramePr/>
            </xdr:nvGraphicFramePr>
            <xdr:xfrm>
              <a:off x="1028700" y="2857498"/>
              <a:ext cx="982801" cy="1219202"/>
            </xdr:xfrm>
            <a:graphic>
              <a:graphicData uri="http://schemas.microsoft.com/office/drawing/2010/slicer">
                <sle:slicer xmlns:sle="http://schemas.microsoft.com/office/drawing/2010/slicer" name="Driver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8700" y="2857498"/>
                <a:ext cx="982801" cy="121920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85" name="Month"/>
              <xdr:cNvGraphicFramePr/>
            </xdr:nvGraphicFramePr>
            <xdr:xfrm>
              <a:off x="295274" y="4724398"/>
              <a:ext cx="1800000" cy="2381251"/>
            </xdr:xfrm>
            <a:graphic>
              <a:graphicData uri="http://schemas.microsoft.com/office/drawing/2010/slicer">
                <sle:slicer xmlns:sle="http://schemas.microsoft.com/office/drawing/2010/slicer" name="Month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5274" y="4724398"/>
                <a:ext cx="1800000" cy="23812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xdr:sp>
        <xdr:nvSpPr>
          <xdr:cNvPr id="90" name="Oval 89"/>
          <xdr:cNvSpPr/>
        </xdr:nvSpPr>
        <xdr:spPr>
          <a:xfrm>
            <a:off x="466725" y="2895600"/>
            <a:ext cx="514350" cy="542925"/>
          </a:xfrm>
          <a:prstGeom prst="ellipse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91" name="Oval 90"/>
          <xdr:cNvSpPr/>
        </xdr:nvSpPr>
        <xdr:spPr>
          <a:xfrm>
            <a:off x="457200" y="3476625"/>
            <a:ext cx="514350" cy="542925"/>
          </a:xfrm>
          <a:prstGeom prst="ellipse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87" name="Picture 86"/>
          <xdr:cNvPicPr>
            <a:picLocks noChangeAspect="1"/>
          </xdr:cNvPicPr>
        </xdr:nvPicPr>
        <xdr:blipFill>
          <a:blip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8638" y="3471316"/>
            <a:ext cx="561488" cy="567284"/>
          </a:xfrm>
          <a:prstGeom prst="ellipse">
            <a:avLst/>
          </a:prstGeom>
        </xdr:spPr>
      </xdr:pic>
      <xdr:pic>
        <xdr:nvPicPr>
          <xdr:cNvPr id="89" name="Picture 88"/>
          <xdr:cNvPicPr>
            <a:picLocks noChangeAspect="1"/>
          </xdr:cNvPicPr>
        </xdr:nvPicPr>
        <xdr:blipFill>
          <a:blip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4326" y="2864556"/>
            <a:ext cx="526274" cy="604586"/>
          </a:xfrm>
          <a:prstGeom prst="ellipse">
            <a:avLst/>
          </a:prstGeom>
        </xdr:spPr>
      </xdr:pic>
      <xdr:sp>
        <xdr:nvSpPr>
          <xdr:cNvPr id="92" name="Rectangle: Rounded Corners 91"/>
          <xdr:cNvSpPr/>
        </xdr:nvSpPr>
        <xdr:spPr>
          <a:xfrm>
            <a:off x="14926050" y="1609724"/>
            <a:ext cx="2494800" cy="5705475"/>
          </a:xfrm>
          <a:prstGeom prst="roundRect">
            <a:avLst>
              <a:gd name="adj" fmla="val 8268"/>
            </a:avLst>
          </a:prstGeom>
          <a:solidFill>
            <a:srgbClr val="FAFAF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aphicFrame>
        <xdr:nvGraphicFramePr>
          <xdr:cNvPr id="93" name="Chart 92"/>
          <xdr:cNvGraphicFramePr/>
        </xdr:nvGraphicFramePr>
        <xdr:xfrm>
          <a:off x="14792325" y="1609725"/>
          <a:ext cx="1457324" cy="1562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16" name="Circle: Hollow 15"/>
          <xdr:cNvSpPr/>
        </xdr:nvSpPr>
        <xdr:spPr>
          <a:xfrm>
            <a:off x="14773275" y="1671638"/>
            <a:ext cx="1495425" cy="1438275"/>
          </a:xfrm>
          <a:prstGeom prst="donut">
            <a:avLst>
              <a:gd name="adj" fmla="val 4926"/>
            </a:avLst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>
              <a:solidFill>
                <a:schemeClr val="tx1"/>
              </a:solidFill>
            </a:endParaRPr>
          </a:p>
        </xdr:txBody>
      </xdr:sp>
      <xdr:sp textlink="'Pivot Table'!$K$3">
        <xdr:nvSpPr>
          <xdr:cNvPr id="19" name="TextBox 18"/>
          <xdr:cNvSpPr txBox="1"/>
        </xdr:nvSpPr>
        <xdr:spPr>
          <a:xfrm>
            <a:off x="16196072" y="1781175"/>
            <a:ext cx="444103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FFEC8D7-8722-486D-A6E9-9D509F39EE87}" type="TxLink">
              <a:rPr lang="en-US" sz="20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3</a:t>
            </a:fld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23" name="TextBox 22"/>
          <xdr:cNvSpPr txBox="1"/>
        </xdr:nvSpPr>
        <xdr:spPr>
          <a:xfrm>
            <a:off x="16621125" y="1781175"/>
            <a:ext cx="825103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8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Close</a:t>
            </a:r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$K$4">
        <xdr:nvSpPr>
          <xdr:cNvPr id="27" name="TextBox 26"/>
          <xdr:cNvSpPr txBox="1"/>
        </xdr:nvSpPr>
        <xdr:spPr>
          <a:xfrm>
            <a:off x="16286559" y="2190750"/>
            <a:ext cx="296466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1C5C78C-F683-4F75-BC4F-3F68D8ED7B79}" type="TxLink">
              <a:rPr lang="en-US" sz="20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1</a:t>
            </a:fld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textlink="'Pivot Table'!$K$5">
        <xdr:nvSpPr>
          <xdr:cNvPr id="29" name="TextBox 28"/>
          <xdr:cNvSpPr txBox="1"/>
        </xdr:nvSpPr>
        <xdr:spPr>
          <a:xfrm>
            <a:off x="16310372" y="2619375"/>
            <a:ext cx="263128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CF10851-494C-409D-91BE-46B2C7D402F9}" type="TxLink">
              <a:rPr lang="en-US" sz="20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4</a:t>
            </a:fld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31" name="TextBox 30"/>
          <xdr:cNvSpPr txBox="1"/>
        </xdr:nvSpPr>
        <xdr:spPr>
          <a:xfrm>
            <a:off x="16487775" y="2190750"/>
            <a:ext cx="1066800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8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Regular</a:t>
            </a:r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32" name="TextBox 31"/>
          <xdr:cNvSpPr txBox="1"/>
        </xdr:nvSpPr>
        <xdr:spPr>
          <a:xfrm>
            <a:off x="16611600" y="2619375"/>
            <a:ext cx="825103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8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Far</a:t>
            </a:r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aphicFrame>
        <xdr:nvGraphicFramePr>
          <xdr:cNvPr id="33" name="Chart 32"/>
          <xdr:cNvGraphicFramePr/>
        </xdr:nvGraphicFramePr>
        <xdr:xfrm>
          <a:off x="14687551" y="3552826"/>
          <a:ext cx="2895599" cy="16573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>
        <xdr:nvSpPr>
          <xdr:cNvPr id="35" name="TextBox 34"/>
          <xdr:cNvSpPr txBox="1"/>
        </xdr:nvSpPr>
        <xdr:spPr>
          <a:xfrm>
            <a:off x="14814947" y="3133725"/>
            <a:ext cx="2415778" cy="609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Drivers</a:t>
            </a:r>
            <a:r>
              <a:rPr lang="en-IN" sz="16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&amp; Buddy Income</a:t>
            </a:r>
            <a:endParaRPr lang="en-IN" sz="1600" b="1" kern="1200" baseline="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l"/>
            <a:r>
              <a:rPr lang="en-IN" sz="11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Per Trip Classify</a:t>
            </a:r>
            <a:endParaRPr lang="en-IN" sz="11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36" name="TextBox 35"/>
          <xdr:cNvSpPr txBox="1"/>
        </xdr:nvSpPr>
        <xdr:spPr>
          <a:xfrm>
            <a:off x="14814947" y="5267325"/>
            <a:ext cx="1329928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Cargo</a:t>
            </a:r>
            <a:r>
              <a:rPr lang="en-IN" sz="16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Types</a:t>
            </a:r>
            <a:endParaRPr lang="en-IN" sz="16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aphicFrame>
        <xdr:nvGraphicFramePr>
          <xdr:cNvPr id="37" name="Chart 36"/>
          <xdr:cNvGraphicFramePr/>
        </xdr:nvGraphicFramePr>
        <xdr:xfrm>
          <a:off x="14783991" y="5612606"/>
          <a:ext cx="3046809" cy="16454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13" name="TextBox 12"/>
          <xdr:cNvSpPr txBox="1"/>
        </xdr:nvSpPr>
        <xdr:spPr>
          <a:xfrm>
            <a:off x="3220640" y="1447800"/>
            <a:ext cx="1909763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 kern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2000" b="1" kern="12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Expenses</a:t>
            </a:r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40" name="TextBox 39"/>
          <xdr:cNvSpPr txBox="1"/>
        </xdr:nvSpPr>
        <xdr:spPr>
          <a:xfrm>
            <a:off x="6553200" y="1438275"/>
            <a:ext cx="1909763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 kern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2000" b="1" kern="12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Salaries</a:t>
            </a:r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41" name="TextBox 40"/>
          <xdr:cNvSpPr txBox="1"/>
        </xdr:nvSpPr>
        <xdr:spPr>
          <a:xfrm>
            <a:off x="9858374" y="1457325"/>
            <a:ext cx="1909763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 kern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2000" b="1" kern="12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Wages</a:t>
            </a:r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N12">
        <xdr:nvSpPr>
          <xdr:cNvPr id="42" name="TextBox 41"/>
          <xdr:cNvSpPr txBox="1"/>
        </xdr:nvSpPr>
        <xdr:spPr>
          <a:xfrm>
            <a:off x="3399233" y="1871662"/>
            <a:ext cx="1552576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8099F34-C546-4996-9327-37B2A6E0E33E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฿27,200 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graphicFrame>
        <xdr:nvGraphicFramePr>
          <xdr:cNvPr id="43" name="Chart 42"/>
          <xdr:cNvGraphicFramePr/>
        </xdr:nvGraphicFramePr>
        <xdr:xfrm>
          <a:off x="2886075" y="3248025"/>
          <a:ext cx="5581651" cy="17168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>
        <xdr:nvSpPr>
          <xdr:cNvPr id="44" name="TextBox 43"/>
          <xdr:cNvSpPr txBox="1"/>
        </xdr:nvSpPr>
        <xdr:spPr>
          <a:xfrm>
            <a:off x="3070622" y="3019425"/>
            <a:ext cx="2263378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Expenses by Month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57" name="TextBox 56"/>
          <xdr:cNvSpPr txBox="1"/>
        </xdr:nvSpPr>
        <xdr:spPr>
          <a:xfrm>
            <a:off x="8690372" y="5200650"/>
            <a:ext cx="1577578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Trips by Month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58" name="TextBox 57"/>
          <xdr:cNvSpPr txBox="1"/>
        </xdr:nvSpPr>
        <xdr:spPr>
          <a:xfrm>
            <a:off x="9633347" y="3076575"/>
            <a:ext cx="815578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Wage's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66" name="TextBox 65"/>
          <xdr:cNvSpPr txBox="1"/>
        </xdr:nvSpPr>
        <xdr:spPr>
          <a:xfrm>
            <a:off x="12230099" y="3105150"/>
            <a:ext cx="79057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Salary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J12">
        <xdr:nvSpPr>
          <xdr:cNvPr id="67" name="TextBox 66"/>
          <xdr:cNvSpPr txBox="1"/>
        </xdr:nvSpPr>
        <xdr:spPr>
          <a:xfrm>
            <a:off x="11844337" y="3467100"/>
            <a:ext cx="1485901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6608C6C-94F5-4AF5-AC79-F3A5BF1C5D4D}" type="TxLink">
              <a:rPr lang="en-US" sz="2800" b="1" i="0" u="none" strike="noStrike" kern="1200">
                <a:solidFill>
                  <a:srgbClr val="FF505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 ฿9,000 </a:t>
            </a:fld>
            <a:endParaRPr lang="en-IN" sz="4800" b="1" kern="1200">
              <a:solidFill>
                <a:srgbClr val="FF5050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textlink="'Pivot Table'!K12">
        <xdr:nvSpPr>
          <xdr:cNvPr id="68" name="TextBox 67"/>
          <xdr:cNvSpPr txBox="1"/>
        </xdr:nvSpPr>
        <xdr:spPr>
          <a:xfrm>
            <a:off x="11810999" y="4162425"/>
            <a:ext cx="1552576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C313EB0-1DC7-4AB6-A898-5D8599F11294}" type="TxLink">
              <a:rPr lang="en-US" sz="2800" b="1" i="0" u="none" strike="noStrike" kern="1200">
                <a:solidFill>
                  <a:srgbClr val="FF505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 ฿3,100 </a:t>
            </a:fld>
            <a:endParaRPr lang="en-IN" sz="2800" b="1" i="0" u="none" strike="noStrike" kern="1200">
              <a:solidFill>
                <a:srgbClr val="FF505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sp>
        <xdr:nvSpPr>
          <xdr:cNvPr id="69" name="TextBox 68"/>
          <xdr:cNvSpPr txBox="1"/>
        </xdr:nvSpPr>
        <xdr:spPr>
          <a:xfrm>
            <a:off x="12087225" y="3867151"/>
            <a:ext cx="10001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Thai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baht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70" name="TextBox 69"/>
          <xdr:cNvSpPr txBox="1"/>
        </xdr:nvSpPr>
        <xdr:spPr>
          <a:xfrm>
            <a:off x="12106275" y="4536281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Thai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baht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71" name="TextBox 70"/>
          <xdr:cNvSpPr txBox="1"/>
        </xdr:nvSpPr>
        <xdr:spPr>
          <a:xfrm>
            <a:off x="8776097" y="3581400"/>
            <a:ext cx="815578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Driver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72" name="TextBox 71"/>
          <xdr:cNvSpPr txBox="1"/>
        </xdr:nvSpPr>
        <xdr:spPr>
          <a:xfrm>
            <a:off x="8776097" y="4248150"/>
            <a:ext cx="815578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Buddy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73" name="TextBox 72"/>
          <xdr:cNvSpPr txBox="1"/>
        </xdr:nvSpPr>
        <xdr:spPr>
          <a:xfrm>
            <a:off x="3728442" y="2231231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Thai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baht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79" name="Graphic 78"/>
          <xdr:cNvPicPr>
            <a:picLocks noChangeAspect="1"/>
          </xdr:cNvPicPr>
        </xdr:nvPicPr>
        <xdr:blipFill>
          <a:blip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3510410" y="2495551"/>
            <a:ext cx="1442590" cy="460252"/>
          </a:xfrm>
          <a:prstGeom prst="rect">
            <a:avLst/>
          </a:prstGeom>
        </xdr:spPr>
      </xdr:pic>
      <xdr:sp textlink="'Pivot Table'!L12">
        <xdr:nvSpPr>
          <xdr:cNvPr id="86" name="TextBox 85"/>
          <xdr:cNvSpPr txBox="1"/>
        </xdr:nvSpPr>
        <xdr:spPr>
          <a:xfrm>
            <a:off x="8753475" y="3819525"/>
            <a:ext cx="110490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B8DF8D8-F01D-4FF8-95CF-9FA49A1B5973}" type="TxLink">
              <a:rPr lang="en-US" sz="1800" b="1" i="0" u="none" strike="noStrike" kern="1200">
                <a:solidFill>
                  <a:sysClr val="windowText" lastClr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 ฿11,200 </a:t>
            </a:fld>
            <a:endParaRPr lang="en-IN" sz="2400" b="1" kern="120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M12">
        <xdr:nvSpPr>
          <xdr:cNvPr id="88" name="TextBox 87"/>
          <xdr:cNvSpPr txBox="1"/>
        </xdr:nvSpPr>
        <xdr:spPr>
          <a:xfrm>
            <a:off x="8737997" y="4495800"/>
            <a:ext cx="987028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C8832D1-1075-4E02-8C24-B1780A3D3FBF}" type="TxLink">
              <a:rPr lang="en-US" sz="1800" b="1" i="0" u="none" strike="noStrike" kern="1200">
                <a:solidFill>
                  <a:sysClr val="windowText" lastClr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 ฿3,900 </a:t>
            </a:fld>
            <a:endParaRPr lang="en-IN" sz="1800" b="1" i="0" u="none" strike="noStrike" kern="1200">
              <a:solidFill>
                <a:sysClr val="windowText" lastClr="000000"/>
              </a:solidFill>
              <a:latin typeface="Calibri" panose="020F0502020204030204"/>
              <a:ea typeface="Calibri" panose="020F0502020204030204"/>
              <a:cs typeface="Calibri" panose="020F0502020204030204"/>
            </a:endParaRPr>
          </a:p>
        </xdr:txBody>
      </xdr:sp>
      <xdr:cxnSp>
        <xdr:nvCxnSpPr>
          <xdr:cNvPr id="95" name="Straight Connector 94"/>
          <xdr:cNvCxnSpPr/>
        </xdr:nvCxnSpPr>
        <xdr:spPr>
          <a:xfrm>
            <a:off x="8734425" y="4152900"/>
            <a:ext cx="5219700" cy="0"/>
          </a:xfrm>
          <a:prstGeom prst="line">
            <a:avLst/>
          </a:prstGeom>
          <a:ln w="190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>
        <xdr:nvGraphicFramePr>
          <xdr:cNvPr id="99" name="Chart 98"/>
          <xdr:cNvGraphicFramePr/>
        </xdr:nvGraphicFramePr>
        <xdr:xfrm>
          <a:off x="9736712" y="3095625"/>
          <a:ext cx="2075258" cy="11620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100" name="Chart 99"/>
          <xdr:cNvGraphicFramePr/>
        </xdr:nvGraphicFramePr>
        <xdr:xfrm>
          <a:off x="9735741" y="3990975"/>
          <a:ext cx="2077200" cy="1162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textlink="'Pivot Table'!O12">
        <xdr:nvSpPr>
          <xdr:cNvPr id="46" name="TextBox 45"/>
          <xdr:cNvSpPr txBox="1"/>
        </xdr:nvSpPr>
        <xdr:spPr>
          <a:xfrm>
            <a:off x="6009083" y="1871662"/>
            <a:ext cx="1552576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DFE01C1-CAEC-4588-9730-3F0C607C705E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฿12,100 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47" name="TextBox 46"/>
          <xdr:cNvSpPr txBox="1"/>
        </xdr:nvSpPr>
        <xdr:spPr>
          <a:xfrm>
            <a:off x="6304359" y="2221706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Thai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baht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P12">
        <xdr:nvSpPr>
          <xdr:cNvPr id="48" name="TextBox 47"/>
          <xdr:cNvSpPr txBox="1"/>
        </xdr:nvSpPr>
        <xdr:spPr>
          <a:xfrm>
            <a:off x="9295208" y="1862137"/>
            <a:ext cx="1552576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3713B73-789C-476F-9D17-6C53E08111D5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฿15,100 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49" name="TextBox 48"/>
          <xdr:cNvSpPr txBox="1"/>
        </xdr:nvSpPr>
        <xdr:spPr>
          <a:xfrm>
            <a:off x="9590484" y="2202656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Thai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baht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aphicFrame>
        <xdr:nvGraphicFramePr>
          <xdr:cNvPr id="50" name="Chart 49"/>
          <xdr:cNvGraphicFramePr/>
        </xdr:nvGraphicFramePr>
        <xdr:xfrm>
          <a:off x="10296525" y="1733550"/>
          <a:ext cx="2000250" cy="1238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>
        <xdr:nvGraphicFramePr>
          <xdr:cNvPr id="51" name="Chart 50"/>
          <xdr:cNvGraphicFramePr/>
        </xdr:nvGraphicFramePr>
        <xdr:xfrm>
          <a:off x="6954440" y="1745456"/>
          <a:ext cx="2001600" cy="1238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textlink="'Pivot Table'!P3">
        <xdr:nvSpPr>
          <xdr:cNvPr id="52" name="TextBox 51"/>
          <xdr:cNvSpPr txBox="1"/>
        </xdr:nvSpPr>
        <xdr:spPr>
          <a:xfrm>
            <a:off x="7474228" y="2240832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FDDABE3-8C82-40D0-98E9-F143D07E0196}" type="TxLink">
              <a:rPr lang="en-US" sz="18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44</a:t>
            </a:fld>
            <a:endParaRPr lang="en-IN" sz="18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textlink="'Pivot Table'!P2">
        <xdr:nvSpPr>
          <xdr:cNvPr id="53" name="TextBox 52"/>
          <xdr:cNvSpPr txBox="1"/>
        </xdr:nvSpPr>
        <xdr:spPr>
          <a:xfrm>
            <a:off x="10815638" y="2228851"/>
            <a:ext cx="962025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D9E79BA-695C-4C02-B7E7-DC80C2509437}" type="TxLink">
              <a:rPr lang="en-US" sz="18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56</a:t>
            </a:fld>
            <a:endParaRPr lang="en-IN" sz="18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graphicFrame>
        <xdr:nvGraphicFramePr>
          <xdr:cNvPr id="54" name="Chart 53"/>
          <xdr:cNvGraphicFramePr/>
        </xdr:nvGraphicFramePr>
        <xdr:xfrm>
          <a:off x="8640365" y="5448300"/>
          <a:ext cx="5466159" cy="18954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pic>
        <xdr:nvPicPr>
          <xdr:cNvPr id="74" name="Picture 73"/>
          <xdr:cNvPicPr>
            <a:picLocks noChangeAspect="1"/>
          </xdr:cNvPicPr>
        </xdr:nvPicPr>
        <xdr:blipFill>
          <a:blip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59346" y="5305424"/>
            <a:ext cx="1329883" cy="1268549"/>
          </a:xfrm>
          <a:prstGeom prst="rect">
            <a:avLst/>
          </a:prstGeom>
        </xdr:spPr>
      </xdr:pic>
      <xdr:pic>
        <xdr:nvPicPr>
          <xdr:cNvPr id="76" name="Picture 75"/>
          <xdr:cNvPicPr>
            <a:picLocks noChangeAspect="1"/>
          </xdr:cNvPicPr>
        </xdr:nvPicPr>
        <xdr:blipFill>
          <a:blip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40446" y="5404653"/>
            <a:ext cx="1137600" cy="1137600"/>
          </a:xfrm>
          <a:prstGeom prst="rect">
            <a:avLst/>
          </a:prstGeom>
        </xdr:spPr>
      </xdr:pic>
      <xdr:pic>
        <xdr:nvPicPr>
          <xdr:cNvPr id="96" name="Picture 95"/>
          <xdr:cNvPicPr>
            <a:picLocks noChangeAspect="1"/>
          </xdr:cNvPicPr>
        </xdr:nvPicPr>
        <xdr:blipFill>
          <a:blip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4992" y="5388038"/>
            <a:ext cx="1135875" cy="1135875"/>
          </a:xfrm>
          <a:prstGeom prst="rect">
            <a:avLst/>
          </a:prstGeom>
        </xdr:spPr>
      </xdr:pic>
      <xdr:sp textlink="'Pivot Table'!C36">
        <xdr:nvSpPr>
          <xdr:cNvPr id="97" name="TextBox 96"/>
          <xdr:cNvSpPr txBox="1"/>
        </xdr:nvSpPr>
        <xdr:spPr>
          <a:xfrm>
            <a:off x="3281958" y="6753225"/>
            <a:ext cx="1084659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279DD6C-8AEF-4158-AD3C-03335DEA372C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239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textlink="'Pivot Table'!G37">
        <xdr:nvSpPr>
          <xdr:cNvPr id="102" name="TextBox 101"/>
          <xdr:cNvSpPr txBox="1"/>
        </xdr:nvSpPr>
        <xdr:spPr>
          <a:xfrm>
            <a:off x="4449948" y="6734175"/>
            <a:ext cx="1909763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2978080-CBC0-4B8C-899D-47ED1CD135C5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2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textlink="'Pivot Table'!G36">
        <xdr:nvSpPr>
          <xdr:cNvPr id="103" name="TextBox 102"/>
          <xdr:cNvSpPr txBox="1"/>
        </xdr:nvSpPr>
        <xdr:spPr>
          <a:xfrm>
            <a:off x="6354365" y="6753225"/>
            <a:ext cx="1909763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15AFA35-C1D4-4EEC-8C05-1D6D5422B872}" type="TxLink">
              <a:rPr lang="en-US" sz="2000" b="1" kern="12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2</a:t>
            </a:fld>
            <a:endParaRPr lang="en-IN" sz="2000" b="1" kern="120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104" name="TextBox 103"/>
          <xdr:cNvSpPr txBox="1"/>
        </xdr:nvSpPr>
        <xdr:spPr>
          <a:xfrm>
            <a:off x="3135511" y="6467475"/>
            <a:ext cx="1377553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14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Distance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107" name="TextBox 106"/>
          <xdr:cNvSpPr txBox="1"/>
        </xdr:nvSpPr>
        <xdr:spPr>
          <a:xfrm>
            <a:off x="5025615" y="6467475"/>
            <a:ext cx="777478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Return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108" name="TextBox 107"/>
          <xdr:cNvSpPr txBox="1"/>
        </xdr:nvSpPr>
        <xdr:spPr>
          <a:xfrm>
            <a:off x="6810970" y="6505575"/>
            <a:ext cx="996553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One-Way</a:t>
            </a:r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161928</xdr:colOff>
      <xdr:row>0</xdr:row>
      <xdr:rowOff>0</xdr:rowOff>
    </xdr:from>
    <xdr:to>
      <xdr:col>29</xdr:col>
      <xdr:colOff>28574</xdr:colOff>
      <xdr:row>39</xdr:row>
      <xdr:rowOff>133348</xdr:rowOff>
    </xdr:to>
    <xdr:grpSp>
      <xdr:nvGrpSpPr>
        <xdr:cNvPr id="2" name="Group 1"/>
        <xdr:cNvGrpSpPr/>
      </xdr:nvGrpSpPr>
      <xdr:grpSpPr>
        <a:xfrm>
          <a:off x="161925" y="0"/>
          <a:ext cx="17544415" cy="7562215"/>
          <a:chOff x="161928" y="0"/>
          <a:chExt cx="17545046" cy="7562848"/>
        </a:xfrm>
      </xdr:grpSpPr>
      <xdr:sp>
        <xdr:nvSpPr>
          <xdr:cNvPr id="3" name="Rectangle 2"/>
          <xdr:cNvSpPr/>
        </xdr:nvSpPr>
        <xdr:spPr>
          <a:xfrm>
            <a:off x="2110790" y="95249"/>
            <a:ext cx="12666871" cy="45719"/>
          </a:xfrm>
          <a:prstGeom prst="rect">
            <a:avLst/>
          </a:prstGeom>
          <a:solidFill>
            <a:srgbClr val="EFEFF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4" name="Rectangle 3"/>
          <xdr:cNvSpPr/>
        </xdr:nvSpPr>
        <xdr:spPr>
          <a:xfrm>
            <a:off x="2113923" y="7430499"/>
            <a:ext cx="12682538" cy="94249"/>
          </a:xfrm>
          <a:prstGeom prst="rect">
            <a:avLst/>
          </a:prstGeom>
          <a:solidFill>
            <a:srgbClr val="EFEFF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pSp>
        <xdr:nvGrpSpPr>
          <xdr:cNvPr id="5" name="Group 4"/>
          <xdr:cNvGrpSpPr/>
        </xdr:nvGrpSpPr>
        <xdr:grpSpPr>
          <a:xfrm>
            <a:off x="161928" y="133349"/>
            <a:ext cx="17545046" cy="7429499"/>
            <a:chOff x="161928" y="95249"/>
            <a:chExt cx="17545046" cy="7429499"/>
          </a:xfrm>
        </xdr:grpSpPr>
        <xdr:grpSp>
          <xdr:nvGrpSpPr>
            <xdr:cNvPr id="93" name="Group 92"/>
            <xdr:cNvGrpSpPr/>
          </xdr:nvGrpSpPr>
          <xdr:grpSpPr>
            <a:xfrm>
              <a:off x="161928" y="95249"/>
              <a:ext cx="1952627" cy="7429499"/>
              <a:chOff x="161928" y="95249"/>
              <a:chExt cx="1952627" cy="7429499"/>
            </a:xfrm>
          </xdr:grpSpPr>
          <xdr:sp>
            <xdr:nvSpPr>
              <xdr:cNvPr id="99" name="Rectangle: Top Corners Rounded 98"/>
              <xdr:cNvSpPr/>
            </xdr:nvSpPr>
            <xdr:spPr>
              <a:xfrm rot="16200000">
                <a:off x="-2576508" y="2833685"/>
                <a:ext cx="7429499" cy="1952627"/>
              </a:xfrm>
              <a:prstGeom prst="round2SameRect">
                <a:avLst/>
              </a:prstGeom>
              <a:solidFill>
                <a:srgbClr val="EFEFF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  <xdr:sp>
            <xdr:nvSpPr>
              <xdr:cNvPr id="100" name="Rectangle: Top Corners Rounded 99"/>
              <xdr:cNvSpPr/>
            </xdr:nvSpPr>
            <xdr:spPr>
              <a:xfrm rot="16200000">
                <a:off x="-2435040" y="2880289"/>
                <a:ext cx="7279909" cy="1819280"/>
              </a:xfrm>
              <a:prstGeom prst="round2Same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</xdr:grpSp>
        <xdr:sp>
          <xdr:nvSpPr>
            <xdr:cNvPr id="94" name="Rectangle 93"/>
            <xdr:cNvSpPr/>
          </xdr:nvSpPr>
          <xdr:spPr>
            <a:xfrm>
              <a:off x="2121685" y="155648"/>
              <a:ext cx="12667507" cy="2067312"/>
            </a:xfrm>
            <a:prstGeom prst="rect">
              <a:avLst/>
            </a:prstGeom>
            <a:gradFill flip="none" rotWithShape="1">
              <a:gsLst>
                <a:gs pos="1000">
                  <a:srgbClr val="20375A"/>
                </a:gs>
                <a:gs pos="48000">
                  <a:srgbClr val="152031"/>
                </a:gs>
                <a:gs pos="100000">
                  <a:srgbClr val="20375A"/>
                </a:gs>
              </a:gsLst>
              <a:lin ang="13200000" scaled="0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kern="1200"/>
            </a:p>
          </xdr:txBody>
        </xdr:sp>
        <xdr:sp>
          <xdr:nvSpPr>
            <xdr:cNvPr id="95" name="Rectangle 94"/>
            <xdr:cNvSpPr/>
          </xdr:nvSpPr>
          <xdr:spPr>
            <a:xfrm>
              <a:off x="2106879" y="2229100"/>
              <a:ext cx="12689647" cy="5203597"/>
            </a:xfrm>
            <a:prstGeom prst="rect">
              <a:avLst/>
            </a:prstGeom>
            <a:solidFill>
              <a:srgbClr val="E8E9E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kern="1200"/>
            </a:p>
          </xdr:txBody>
        </xdr:sp>
        <xdr:sp>
          <xdr:nvSpPr>
            <xdr:cNvPr id="97" name="Rectangle: Top Corners Rounded 96"/>
            <xdr:cNvSpPr/>
          </xdr:nvSpPr>
          <xdr:spPr>
            <a:xfrm rot="5400000" flipH="1">
              <a:off x="12525376" y="2343150"/>
              <a:ext cx="7429499" cy="2933697"/>
            </a:xfrm>
            <a:prstGeom prst="round2SameRect">
              <a:avLst>
                <a:gd name="adj1" fmla="val 10173"/>
                <a:gd name="adj2" fmla="val 0"/>
              </a:avLst>
            </a:prstGeom>
            <a:solidFill>
              <a:srgbClr val="EFEFF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kern="1200"/>
            </a:p>
          </xdr:txBody>
        </xdr:sp>
      </xdr:grpSp>
      <xdr:pic>
        <xdr:nvPicPr>
          <xdr:cNvPr id="6" name="Picture 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8368" y="295276"/>
            <a:ext cx="1125466" cy="904874"/>
          </a:xfrm>
          <a:prstGeom prst="rect">
            <a:avLst/>
          </a:prstGeom>
        </xdr:spPr>
      </xdr:pic>
      <xdr:sp>
        <xdr:nvSpPr>
          <xdr:cNvPr id="8" name="Rectangle: Rounded Corners 7"/>
          <xdr:cNvSpPr/>
        </xdr:nvSpPr>
        <xdr:spPr>
          <a:xfrm>
            <a:off x="466725" y="1957388"/>
            <a:ext cx="1371600" cy="371475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7" name="TextBox 6"/>
          <xdr:cNvSpPr txBox="1"/>
        </xdr:nvSpPr>
        <xdr:spPr>
          <a:xfrm>
            <a:off x="557213" y="1990725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Schedule</a:t>
            </a:r>
            <a:endParaRPr lang="en-IN" sz="11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9" name="TextBox 8">
            <a:hlinkClick xmlns:r="http://schemas.openxmlformats.org/officeDocument/2006/relationships" r:id="rId3"/>
          </xdr:cNvPr>
          <xdr:cNvSpPr txBox="1"/>
        </xdr:nvSpPr>
        <xdr:spPr>
          <a:xfrm>
            <a:off x="554832" y="1343025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Dashboard</a:t>
            </a:r>
            <a:endParaRPr lang="en-IN" sz="11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10" name="Rectangle: Top Corners Rounded 9"/>
          <xdr:cNvSpPr/>
        </xdr:nvSpPr>
        <xdr:spPr>
          <a:xfrm rot="5400000">
            <a:off x="138451" y="2086306"/>
            <a:ext cx="360000" cy="6345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CF5C4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>
        <xdr:nvSpPr>
          <xdr:cNvPr id="11" name="TextBox 10"/>
          <xdr:cNvSpPr txBox="1"/>
        </xdr:nvSpPr>
        <xdr:spPr>
          <a:xfrm>
            <a:off x="2205038" y="180976"/>
            <a:ext cx="5262561" cy="704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8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Fleet</a:t>
            </a:r>
            <a:r>
              <a:rPr lang="en-IN" sz="1800" b="1" kern="1200" baseline="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 Management Transportation and Logistics Dashboard </a:t>
            </a:r>
            <a:r>
              <a:rPr lang="en-IN" sz="1100" b="1" kern="1200" baseline="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2022</a:t>
            </a:r>
            <a:endParaRPr lang="en-IN" sz="1100" b="1" kern="12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12" name="TextBox 11"/>
          <xdr:cNvSpPr txBox="1"/>
        </xdr:nvSpPr>
        <xdr:spPr>
          <a:xfrm>
            <a:off x="2205038" y="952500"/>
            <a:ext cx="2081212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Trip</a:t>
            </a:r>
            <a:r>
              <a:rPr lang="en-IN" sz="2400" b="1" kern="1200" baseline="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Schedule</a:t>
            </a:r>
            <a:endParaRPr lang="en-IN" sz="2400" b="1" kern="12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13" name="Picture 12"/>
          <xdr:cNvPicPr>
            <a:picLocks noChangeAspect="1"/>
          </xdr:cNvPicPr>
        </xdr:nvPicPr>
        <xdr:blipFill>
          <a:blip r:embed="rId4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49325" y="217711"/>
            <a:ext cx="1085850" cy="1849214"/>
          </a:xfrm>
          <a:prstGeom prst="rect">
            <a:avLst/>
          </a:prstGeom>
        </xdr:spPr>
      </xdr:pic>
      <xdr:sp>
        <xdr:nvSpPr>
          <xdr:cNvPr id="14" name="Oval 13"/>
          <xdr:cNvSpPr/>
        </xdr:nvSpPr>
        <xdr:spPr>
          <a:xfrm>
            <a:off x="13858874" y="1666875"/>
            <a:ext cx="57152" cy="57150"/>
          </a:xfrm>
          <a:prstGeom prst="ellipse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pSp>
        <xdr:nvGrpSpPr>
          <xdr:cNvPr id="15" name="Group 14"/>
          <xdr:cNvGrpSpPr/>
        </xdr:nvGrpSpPr>
        <xdr:grpSpPr>
          <a:xfrm>
            <a:off x="12568238" y="968513"/>
            <a:ext cx="1176337" cy="431662"/>
            <a:chOff x="12568238" y="968513"/>
            <a:chExt cx="1176337" cy="431662"/>
          </a:xfrm>
        </xdr:grpSpPr>
        <xdr:sp>
          <xdr:nvSpPr>
            <xdr:cNvPr id="91" name="TextBox 90"/>
            <xdr:cNvSpPr txBox="1"/>
          </xdr:nvSpPr>
          <xdr:spPr>
            <a:xfrm>
              <a:off x="12568238" y="1171575"/>
              <a:ext cx="1176337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 kern="1200">
                  <a:solidFill>
                    <a:schemeClr val="bg1">
                      <a:lumMod val="9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Sadao,Thailand</a:t>
              </a:r>
              <a:endParaRPr lang="en-IN" sz="1100" b="1" kern="1200">
                <a:solidFill>
                  <a:schemeClr val="bg1">
                    <a:lumMod val="9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92" name="Picture 91"/>
            <xdr:cNvPicPr>
              <a:picLocks noChangeAspect="1"/>
            </xdr:cNvPicPr>
          </xdr:nvPicPr>
          <xdr:blipFill>
            <a:blip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696825" y="968513"/>
              <a:ext cx="333375" cy="222111"/>
            </a:xfrm>
            <a:prstGeom prst="rect">
              <a:avLst/>
            </a:prstGeom>
          </xdr:spPr>
        </xdr:pic>
      </xdr:grpSp>
      <xdr:sp>
        <xdr:nvSpPr>
          <xdr:cNvPr id="21" name="Rectangle: Rounded Corners 20"/>
          <xdr:cNvSpPr/>
        </xdr:nvSpPr>
        <xdr:spPr>
          <a:xfrm>
            <a:off x="2230040" y="2393156"/>
            <a:ext cx="12438459" cy="4998244"/>
          </a:xfrm>
          <a:prstGeom prst="roundRect">
            <a:avLst>
              <a:gd name="adj" fmla="val 38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23" name="Rectangle: Rounded Corners 22"/>
          <xdr:cNvSpPr/>
        </xdr:nvSpPr>
        <xdr:spPr>
          <a:xfrm>
            <a:off x="14925675" y="242886"/>
            <a:ext cx="2495550" cy="1245561"/>
          </a:xfrm>
          <a:prstGeom prst="roundRect">
            <a:avLst/>
          </a:prstGeom>
          <a:solidFill>
            <a:srgbClr val="FAF4D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24" name="TextBox 23"/>
          <xdr:cNvSpPr txBox="1"/>
        </xdr:nvSpPr>
        <xdr:spPr>
          <a:xfrm>
            <a:off x="15472172" y="342900"/>
            <a:ext cx="1402556" cy="3238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en-IN" sz="20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Trips</a:t>
            </a:r>
            <a:endParaRPr lang="en-IN" sz="20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C3">
        <xdr:nvSpPr>
          <xdr:cNvPr id="25" name="TextBox 24"/>
          <xdr:cNvSpPr txBox="1"/>
        </xdr:nvSpPr>
        <xdr:spPr>
          <a:xfrm>
            <a:off x="15875794" y="685800"/>
            <a:ext cx="57626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3A5CF8-1F53-4F6A-A858-76B948B8619C}" type="TxLink">
              <a:rPr lang="en-US" sz="2400" b="1" kern="1200">
                <a:solidFill>
                  <a:srgbClr val="48515F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4</a:t>
            </a:fld>
            <a:endParaRPr lang="en-IN" sz="2400" b="1" kern="1200">
              <a:solidFill>
                <a:srgbClr val="48515F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>
        <xdr:nvSpPr>
          <xdr:cNvPr id="26" name="TextBox 25"/>
          <xdr:cNvSpPr txBox="1"/>
        </xdr:nvSpPr>
        <xdr:spPr>
          <a:xfrm>
            <a:off x="14963776" y="1042988"/>
            <a:ext cx="1638300" cy="266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 kern="120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Hired</a:t>
            </a:r>
            <a:r>
              <a:rPr lang="en-IN" sz="1200" b="1" kern="1200" baseline="0">
                <a:solidFill>
                  <a:srgbClr val="48515F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Transportation</a:t>
            </a:r>
            <a:endParaRPr lang="en-IN" sz="12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textlink="'Pivot Table'!H4">
        <xdr:nvSpPr>
          <xdr:cNvPr id="27" name="TextBox 26"/>
          <xdr:cNvSpPr txBox="1"/>
        </xdr:nvSpPr>
        <xdr:spPr>
          <a:xfrm>
            <a:off x="16516351" y="1066800"/>
            <a:ext cx="238124" cy="219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1AC8B8D-C0E3-48C8-8DE3-4507187260D4}" type="TxLink">
              <a:rPr lang="en-US" sz="1800" b="1" i="0" u="none" strike="noStrike" kern="1200">
                <a:solidFill>
                  <a:srgbClr val="FF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#N/A</a:t>
            </a:fld>
            <a:endParaRPr lang="en-IN" sz="1400" b="1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28" name="Graphic 27"/>
          <xdr:cNvPicPr>
            <a:picLocks noChangeAspect="1"/>
          </xdr:cNvPicPr>
        </xdr:nvPicPr>
        <xdr:blipFill>
          <a:blip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rcRect r="60000"/>
          <a:stretch>
            <a:fillRect/>
          </a:stretch>
        </xdr:blipFill>
        <xdr:spPr>
          <a:xfrm>
            <a:off x="16849725" y="0"/>
            <a:ext cx="590550" cy="1495425"/>
          </a:xfrm>
          <a:prstGeom prst="rect">
            <a:avLst/>
          </a:prstGeom>
        </xdr:spPr>
      </xdr:pic>
      <xdr:sp textlink="'Pivot Table'!H4">
        <xdr:nvSpPr>
          <xdr:cNvPr id="29" name="TextBox 28"/>
          <xdr:cNvSpPr txBox="1"/>
        </xdr:nvSpPr>
        <xdr:spPr>
          <a:xfrm>
            <a:off x="16573501" y="1047749"/>
            <a:ext cx="828674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B962C8B-B14F-4D97-AF65-F5344CB8AC3E}" type="TxLink">
              <a:rPr lang="en-US" sz="1800" b="0" i="0" u="none" strike="noStrike" kern="1200">
                <a:solidFill>
                  <a:srgbClr val="FF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#N/A</a:t>
            </a:fld>
            <a:endParaRPr lang="en-IN" sz="1400" b="0" kern="1200">
              <a:solidFill>
                <a:srgbClr val="48515F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30" name="TextBox 29"/>
          <xdr:cNvSpPr txBox="1"/>
        </xdr:nvSpPr>
        <xdr:spPr>
          <a:xfrm>
            <a:off x="290514" y="2438400"/>
            <a:ext cx="86201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600" b="1" kern="1200">
                <a:solidFill>
                  <a:srgbClr val="FF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Drivers</a:t>
            </a:r>
            <a:endParaRPr lang="en-IN" sz="1100" b="1" kern="1200">
              <a:solidFill>
                <a:srgbClr val="FF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>
        <xdr:nvSpPr>
          <xdr:cNvPr id="31" name="TextBox 30"/>
          <xdr:cNvSpPr txBox="1"/>
        </xdr:nvSpPr>
        <xdr:spPr>
          <a:xfrm>
            <a:off x="290514" y="4152900"/>
            <a:ext cx="11906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600" b="1" kern="1200">
                <a:solidFill>
                  <a:srgbClr val="FF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Months</a:t>
            </a:r>
            <a:endParaRPr lang="en-IN" sz="1100" b="1" kern="1200">
              <a:solidFill>
                <a:srgbClr val="FF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2" name="Drivers 1"/>
              <xdr:cNvGraphicFramePr/>
            </xdr:nvGraphicFramePr>
            <xdr:xfrm>
              <a:off x="1028700" y="2857498"/>
              <a:ext cx="982801" cy="1219202"/>
            </xdr:xfrm>
            <a:graphic>
              <a:graphicData uri="http://schemas.microsoft.com/office/drawing/2010/slicer">
                <sle:slicer xmlns:sle="http://schemas.microsoft.com/office/drawing/2010/slicer" name="Driver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8700" y="2857498"/>
                <a:ext cx="982801" cy="121920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3" name="Month 1"/>
              <xdr:cNvGraphicFramePr/>
            </xdr:nvGraphicFramePr>
            <xdr:xfrm>
              <a:off x="295274" y="4724398"/>
              <a:ext cx="1800000" cy="2381251"/>
            </xdr:xfrm>
            <a:graphic>
              <a:graphicData uri="http://schemas.microsoft.com/office/drawing/2010/slicer">
                <sle:slicer xmlns:sle="http://schemas.microsoft.com/office/drawing/2010/slicer" name="Month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5274" y="4724398"/>
                <a:ext cx="1800000" cy="23812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xdr:sp>
        <xdr:nvSpPr>
          <xdr:cNvPr id="34" name="Oval 33"/>
          <xdr:cNvSpPr/>
        </xdr:nvSpPr>
        <xdr:spPr>
          <a:xfrm>
            <a:off x="466725" y="2895600"/>
            <a:ext cx="514350" cy="542925"/>
          </a:xfrm>
          <a:prstGeom prst="ellipse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>
        <xdr:nvSpPr>
          <xdr:cNvPr id="35" name="Oval 34"/>
          <xdr:cNvSpPr/>
        </xdr:nvSpPr>
        <xdr:spPr>
          <a:xfrm>
            <a:off x="457200" y="3476625"/>
            <a:ext cx="514350" cy="542925"/>
          </a:xfrm>
          <a:prstGeom prst="ellipse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36" name="Picture 35"/>
          <xdr:cNvPicPr>
            <a:picLocks noChangeAspect="1"/>
          </xdr:cNvPicPr>
        </xdr:nvPicPr>
        <xdr:blipFill>
          <a:blip r:embed="rId8" cstate="print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8638" y="3471316"/>
            <a:ext cx="561488" cy="567284"/>
          </a:xfrm>
          <a:prstGeom prst="ellipse">
            <a:avLst/>
          </a:prstGeom>
        </xdr:spPr>
      </xdr:pic>
      <xdr:pic>
        <xdr:nvPicPr>
          <xdr:cNvPr id="37" name="Picture 36"/>
          <xdr:cNvPicPr>
            <a:picLocks noChangeAspect="1"/>
          </xdr:cNvPicPr>
        </xdr:nvPicPr>
        <xdr:blipFill>
          <a:blip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4326" y="2864556"/>
            <a:ext cx="526274" cy="604586"/>
          </a:xfrm>
          <a:prstGeom prst="ellipse">
            <a:avLst/>
          </a:prstGeom>
        </xdr:spPr>
      </xdr:pic>
      <xdr:sp>
        <xdr:nvSpPr>
          <xdr:cNvPr id="38" name="Rectangle: Rounded Corners 37"/>
          <xdr:cNvSpPr/>
        </xdr:nvSpPr>
        <xdr:spPr>
          <a:xfrm>
            <a:off x="14926050" y="1609724"/>
            <a:ext cx="2494800" cy="5705475"/>
          </a:xfrm>
          <a:prstGeom prst="roundRect">
            <a:avLst>
              <a:gd name="adj" fmla="val 8268"/>
            </a:avLst>
          </a:prstGeom>
          <a:solidFill>
            <a:srgbClr val="FAFAF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aphicFrame>
        <xdr:nvGraphicFramePr>
          <xdr:cNvPr id="77" name="Chart 76"/>
          <xdr:cNvGraphicFramePr/>
        </xdr:nvGraphicFramePr>
        <xdr:xfrm>
          <a:off x="10296525" y="1733550"/>
          <a:ext cx="2000250" cy="1238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3</xdr:col>
      <xdr:colOff>386136</xdr:colOff>
      <xdr:row>12</xdr:row>
      <xdr:rowOff>114300</xdr:rowOff>
    </xdr:from>
    <xdr:to>
      <xdr:col>24</xdr:col>
      <xdr:colOff>47625</xdr:colOff>
      <xdr:row>38</xdr:row>
      <xdr:rowOff>142875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14880" y="2400300"/>
          <a:ext cx="12463145" cy="4981575"/>
        </a:xfrm>
        <a:prstGeom prst="roundRect">
          <a:avLst>
            <a:gd name="adj" fmla="val 4239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304799</xdr:colOff>
      <xdr:row>8</xdr:row>
      <xdr:rowOff>114300</xdr:rowOff>
    </xdr:from>
    <xdr:to>
      <xdr:col>27</xdr:col>
      <xdr:colOff>419099</xdr:colOff>
      <xdr:row>10</xdr:row>
      <xdr:rowOff>85725</xdr:rowOff>
    </xdr:to>
    <xdr:sp>
      <xdr:nvSpPr>
        <xdr:cNvPr id="108" name="TextBox 107"/>
        <xdr:cNvSpPr txBox="1"/>
      </xdr:nvSpPr>
      <xdr:spPr>
        <a:xfrm>
          <a:off x="14934565" y="1638300"/>
          <a:ext cx="19431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 kern="1200">
              <a:solidFill>
                <a:srgbClr val="FF3300"/>
              </a:solidFill>
            </a:rPr>
            <a:t>New Truck Driving Laws</a:t>
          </a:r>
          <a:endParaRPr lang="en-IN" sz="1400" b="1" kern="1200">
            <a:solidFill>
              <a:srgbClr val="FF3300"/>
            </a:solidFill>
          </a:endParaRPr>
        </a:p>
      </xdr:txBody>
    </xdr:sp>
    <xdr:clientData/>
  </xdr:twoCellAnchor>
  <xdr:twoCellAnchor>
    <xdr:from>
      <xdr:col>24</xdr:col>
      <xdr:colOff>304799</xdr:colOff>
      <xdr:row>10</xdr:row>
      <xdr:rowOff>28574</xdr:rowOff>
    </xdr:from>
    <xdr:to>
      <xdr:col>28</xdr:col>
      <xdr:colOff>428625</xdr:colOff>
      <xdr:row>36</xdr:row>
      <xdr:rowOff>114300</xdr:rowOff>
    </xdr:to>
    <xdr:sp>
      <xdr:nvSpPr>
        <xdr:cNvPr id="109" name="TextBox 108"/>
        <xdr:cNvSpPr txBox="1"/>
      </xdr:nvSpPr>
      <xdr:spPr>
        <a:xfrm>
          <a:off x="14934565" y="1932940"/>
          <a:ext cx="2562860" cy="5039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1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. 30-minute break is more flexible</a:t>
          </a:r>
          <a:endParaRPr lang="en-IN" sz="1100" b="1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 There is now more flexibility in the 30-minute break rule as it's now tied to eight hours of driving time without</a:t>
          </a:r>
          <a:r>
            <a:rPr lang="en-IN" sz="1100" b="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IN" sz="1100" b="0">
              <a:solidFill>
                <a:schemeClr val="bg1">
                  <a:lumMod val="50000"/>
                </a:schemeClr>
              </a:solidFill>
            </a:rPr>
            <a:t>interruption for at least 30 minutes. Instead of a mandatory break after eight hours of continuous driving, drivers can use on-duty, instead of not-driving status instead of off-duty.</a:t>
          </a:r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2.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One off-duty break</a:t>
          </a:r>
          <a:endParaRPr lang="en-IN" sz="1100" b="1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 Drivers are now allowed one off-duty break of at least 30 minutes but this can't be over three hours that pauses a driver’s 14-hour driving period. As long as the trucker takes off 10 consecutive hours at the end of the workday.</a:t>
          </a:r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3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. Adverse driving condition exception is modified</a:t>
          </a:r>
          <a:endParaRPr lang="en-IN" sz="1100" b="1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 The new trucking law extends the maximum period by two hours during which driving is allowed.</a:t>
          </a:r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4.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Off-duty periods</a:t>
          </a:r>
          <a:endParaRPr lang="en-IN" sz="1100" b="1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 Covered CMV operators are now permitted to use multiple off-duty periods of at least three hours instead of taking 10 consecutive hours off-duty.</a:t>
          </a:r>
          <a:endParaRPr lang="en-IN" sz="1100" b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700" b="1" kern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08.0176983796" refreshedBy="SKANDA NAGARAJ" recordCount="24">
  <cacheSource type="worksheet">
    <worksheetSource ref="A1:T25" sheet="Dataset"/>
  </cacheSource>
  <cacheFields count="20">
    <cacheField name="N" numFmtId="0"/>
    <cacheField name="Date" numFmtId="0"/>
    <cacheField name="Year" numFmtId="0"/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ay" numFmtId="0"/>
    <cacheField name="Driver" numFmtId="0">
      <sharedItems count="2">
        <s v="Antoni"/>
        <s v="Jaison"/>
      </sharedItems>
    </cacheField>
    <cacheField name="Buddy" numFmtId="0"/>
    <cacheField name="Vehicle" numFmtId="0"/>
    <cacheField name="Distance (km)" numFmtId="0"/>
    <cacheField name="Trip Classify" numFmtId="0">
      <sharedItems count="3">
        <s v="Close"/>
        <s v="Far"/>
        <s v="Regular"/>
      </sharedItems>
    </cacheField>
    <cacheField name="Distance Traveled" numFmtId="0">
      <sharedItems count="2">
        <s v="Return"/>
        <s v="One-Way"/>
      </sharedItems>
    </cacheField>
    <cacheField name="From" numFmtId="0"/>
    <cacheField name="To" numFmtId="0"/>
    <cacheField name="Goods" numFmtId="0"/>
    <cacheField name="Driver wage/trip" numFmtId="0"/>
    <cacheField name="Buddy wage/trip" numFmtId="0">
      <sharedItems count="4">
        <s v="฿ 400"/>
        <s v="฿ 100"/>
        <s v="฿ 150"/>
        <s v="฿ 200"/>
      </sharedItems>
    </cacheField>
    <cacheField name="Driver Salary" numFmtId="0"/>
    <cacheField name="Buddy Salary" numFmtId="0"/>
    <cacheField name="Weight (Tons)" numFmtId="0"/>
    <cacheField name="Hired Transporta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10.6623538194" refreshedBy="SKANDA NAGARAJ" recordCount="24">
  <cacheSource type="worksheet">
    <worksheetSource ref="C1:T25" sheet="Dataset"/>
  </cacheSource>
  <cacheFields count="23">
    <cacheField name="Year" numFmtId="0"/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ay" numFmtId="0"/>
    <cacheField name="Driver" numFmtId="0">
      <sharedItems count="2">
        <s v="Antoni"/>
        <s v="Jaison"/>
      </sharedItems>
    </cacheField>
    <cacheField name="Buddy" numFmtId="0"/>
    <cacheField name="Vehicle" numFmtId="0"/>
    <cacheField name="Distance (km)" numFmtId="0"/>
    <cacheField name="Trip Classify" numFmtId="0">
      <sharedItems count="3">
        <s v="Close"/>
        <s v="Far"/>
        <s v="Regular"/>
      </sharedItems>
    </cacheField>
    <cacheField name="Distance Traveled" numFmtId="0"/>
    <cacheField name="From" numFmtId="0"/>
    <cacheField name="To" numFmtId="0"/>
    <cacheField name="Goods" numFmtId="0">
      <sharedItems count="2">
        <s v="Woodchip"/>
        <s v="Woodpellet"/>
      </sharedItems>
    </cacheField>
    <cacheField name="Driver wage/trip" numFmtId="181"/>
    <cacheField name="Buddy wage/trip" numFmtId="181"/>
    <cacheField name="Driver Salary" numFmtId="181"/>
    <cacheField name="Buddy Salary" numFmtId="181"/>
    <cacheField name="Weight (Tons)" numFmtId="0"/>
    <cacheField name="Hired Transportation" numFmtId="0">
      <sharedItems count="2">
        <s v="No"/>
        <s v="Yes"/>
      </sharedItems>
    </cacheField>
    <cacheField name="Total Expense" numFmtId="0" formula="'Driver Salary'+'Buddy Salary'" databaseField="0"/>
    <cacheField name="Total Expenses" numFmtId="0" formula="'Driver wage/trip'+'Buddy wage/trip'+'Driver Salary'+'Buddy Salary'" databaseField="0"/>
    <cacheField name="Total Salary" numFmtId="0" formula="'Driver Salary'+'Buddy Salary'" databaseField="0"/>
    <cacheField name="Total Wages" numFmtId="0" formula="'Driver wage/trip'+'Buddy wage/trip'" databaseField="0"/>
    <cacheField name="Total Expenses by month" numFmtId="0" formula="'Driver wage/trip'+'Buddy wage/trip'+'Buddy Salary'+'Driver Salary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1"/>
    <s v="Saturday, January 01, 2022"/>
    <n v="2022"/>
    <x v="0"/>
    <n v="1"/>
    <x v="0"/>
    <s v="Mike"/>
    <s v="72-0466/0467"/>
    <n v="25"/>
    <x v="0"/>
    <x v="0"/>
    <s v="Xunthai"/>
    <s v="Gidec"/>
    <s v="Woodchip"/>
    <s v="฿ 400"/>
    <x v="0"/>
    <s v="฿ 400"/>
    <s v="฿ 400"/>
    <n v="14"/>
    <x v="0"/>
  </r>
  <r>
    <n v="2"/>
    <s v="Tuesday, February 01, 2022"/>
    <n v="2022"/>
    <x v="1"/>
    <n v="1"/>
    <x v="1"/>
    <s v="Mike"/>
    <s v="72-1001/1002"/>
    <n v="15"/>
    <x v="0"/>
    <x v="0"/>
    <s v="Port Said"/>
    <s v="Safeskin"/>
    <s v="Woodpellet"/>
    <s v="฿ 400"/>
    <x v="1"/>
    <s v="฿ 400"/>
    <s v="฿ 100"/>
    <n v="11"/>
    <x v="0"/>
  </r>
  <r>
    <n v="3"/>
    <s v="Tuesday, March 01, 2022"/>
    <n v="2022"/>
    <x v="2"/>
    <n v="1"/>
    <x v="0"/>
    <s v="Mike"/>
    <s v="72-0466/0467"/>
    <n v="65"/>
    <x v="1"/>
    <x v="0"/>
    <s v="Gidec"/>
    <s v="Suies"/>
    <s v="Woodchip"/>
    <s v="฿ 600"/>
    <x v="1"/>
    <s v="฿ 600"/>
    <s v="฿ 100"/>
    <n v="15"/>
    <x v="0"/>
  </r>
  <r>
    <n v="4"/>
    <s v="Friday, April 01, 2022"/>
    <n v="2022"/>
    <x v="3"/>
    <n v="1"/>
    <x v="1"/>
    <s v="Mike"/>
    <s v="72-1001/1002"/>
    <n v="44"/>
    <x v="2"/>
    <x v="1"/>
    <s v="Safeskin"/>
    <s v="X1 Port"/>
    <s v="Woodpellet"/>
    <s v="฿ 400"/>
    <x v="1"/>
    <s v="฿ 400"/>
    <s v="฿ 100"/>
    <n v="13"/>
    <x v="0"/>
  </r>
  <r>
    <n v="5"/>
    <s v="Sunday, May 01, 2022"/>
    <n v="2022"/>
    <x v="4"/>
    <n v="1"/>
    <x v="0"/>
    <s v="Lee"/>
    <s v="72-0466/0467"/>
    <n v="65"/>
    <x v="1"/>
    <x v="1"/>
    <s v="Top glove"/>
    <s v="X1 Port"/>
    <s v="Woodchip"/>
    <s v="฿ 600"/>
    <x v="1"/>
    <s v="฿ 600"/>
    <s v="฿ 100"/>
    <n v="12"/>
    <x v="0"/>
  </r>
  <r>
    <n v="6"/>
    <s v="Wednesday, June 01, 2022"/>
    <n v="2022"/>
    <x v="5"/>
    <n v="1"/>
    <x v="1"/>
    <s v="Mike"/>
    <s v="72-1001/1002"/>
    <n v="80"/>
    <x v="1"/>
    <x v="1"/>
    <s v="Alex"/>
    <s v="Top glove"/>
    <s v="Woodpellet"/>
    <s v="฿ 800"/>
    <x v="1"/>
    <s v="฿ 800"/>
    <s v="฿ 100"/>
    <n v="11"/>
    <x v="0"/>
  </r>
  <r>
    <n v="7"/>
    <s v="Friday, July 01, 2022"/>
    <n v="2022"/>
    <x v="6"/>
    <n v="1"/>
    <x v="0"/>
    <s v="Lee"/>
    <s v="72-0466/0467"/>
    <n v="25"/>
    <x v="0"/>
    <x v="1"/>
    <s v="Giza"/>
    <s v="X1 Port"/>
    <s v="Woodchip"/>
    <s v="฿ 400"/>
    <x v="2"/>
    <s v="฿ 400"/>
    <s v="฿ 150"/>
    <n v="18"/>
    <x v="0"/>
  </r>
  <r>
    <n v="8"/>
    <s v="Monday, August 01, 2022"/>
    <n v="2022"/>
    <x v="7"/>
    <n v="1"/>
    <x v="1"/>
    <s v="Lee"/>
    <s v="72-1001/1002"/>
    <n v="25"/>
    <x v="0"/>
    <x v="0"/>
    <s v="Gidec"/>
    <s v="Safeskin"/>
    <s v="Woodpellet"/>
    <s v="฿ 400"/>
    <x v="1"/>
    <s v="฿ 400"/>
    <s v="฿ 100"/>
    <n v="13"/>
    <x v="1"/>
  </r>
  <r>
    <n v="9"/>
    <s v="Thursday, September 01, 2022"/>
    <n v="2022"/>
    <x v="8"/>
    <n v="1"/>
    <x v="0"/>
    <s v="Lee"/>
    <s v="72-0466/0467"/>
    <n v="25"/>
    <x v="0"/>
    <x v="1"/>
    <s v="Safeskin"/>
    <s v="Mina"/>
    <s v="Woodchip"/>
    <s v="฿ 400"/>
    <x v="1"/>
    <s v="฿ 400"/>
    <s v="฿ 100"/>
    <n v="15"/>
    <x v="1"/>
  </r>
  <r>
    <n v="10"/>
    <s v="Saturday, October 01, 2022"/>
    <n v="2022"/>
    <x v="9"/>
    <n v="1"/>
    <x v="1"/>
    <s v="Mike"/>
    <s v="72-1001/1002"/>
    <n v="25"/>
    <x v="0"/>
    <x v="1"/>
    <s v="Air Port"/>
    <s v="X1 Port"/>
    <s v="Woodpellet"/>
    <s v="฿ 400"/>
    <x v="3"/>
    <s v="฿ 400"/>
    <s v="฿ 200"/>
    <n v="14"/>
    <x v="0"/>
  </r>
  <r>
    <n v="11"/>
    <s v="Tuesday, November 01, 2022"/>
    <n v="2022"/>
    <x v="10"/>
    <n v="1"/>
    <x v="0"/>
    <s v="Mike"/>
    <s v="72-0466/0467"/>
    <n v="25"/>
    <x v="0"/>
    <x v="1"/>
    <s v="Xunthai"/>
    <s v="Gidec"/>
    <s v="Woodchip"/>
    <s v="฿ 400"/>
    <x v="0"/>
    <s v="฿ 400"/>
    <s v="฿ 400"/>
    <n v="12"/>
    <x v="0"/>
  </r>
  <r>
    <n v="12"/>
    <s v="Thursday, December 01, 2022"/>
    <n v="2022"/>
    <x v="11"/>
    <n v="1"/>
    <x v="1"/>
    <s v="Mike"/>
    <s v="72-1001/1002"/>
    <n v="15"/>
    <x v="0"/>
    <x v="1"/>
    <s v="PT"/>
    <s v="Safeskin"/>
    <s v="Woodpellet"/>
    <s v="฿ 400"/>
    <x v="1"/>
    <s v="฿ 400"/>
    <s v="฿ 100"/>
    <n v="9"/>
    <x v="0"/>
  </r>
  <r>
    <n v="13"/>
    <s v="Saturday, January 01, 2022"/>
    <n v="2022"/>
    <x v="0"/>
    <n v="1"/>
    <x v="0"/>
    <s v="Mike"/>
    <s v="72-0466/0467"/>
    <n v="25"/>
    <x v="0"/>
    <x v="0"/>
    <s v="Xunthai"/>
    <s v="Gidec"/>
    <s v="Woodchip"/>
    <s v="฿ 400"/>
    <x v="0"/>
    <s v="฿ 400"/>
    <s v="฿ 400"/>
    <n v="14"/>
    <x v="0"/>
  </r>
  <r>
    <n v="14"/>
    <s v="Tuesday, February 01, 2022"/>
    <n v="2022"/>
    <x v="1"/>
    <n v="1"/>
    <x v="1"/>
    <s v="Mike"/>
    <s v="72-1001/1002"/>
    <n v="15"/>
    <x v="0"/>
    <x v="0"/>
    <s v="Port Said"/>
    <s v="Safeskin"/>
    <s v="Woodpellet"/>
    <s v="฿ 400"/>
    <x v="1"/>
    <s v="฿ 400"/>
    <s v="฿ 100"/>
    <n v="11"/>
    <x v="1"/>
  </r>
  <r>
    <n v="15"/>
    <s v="Tuesday, March 01, 2022"/>
    <n v="2022"/>
    <x v="2"/>
    <n v="1"/>
    <x v="0"/>
    <s v="Mike"/>
    <s v="72-0466/0467"/>
    <n v="65"/>
    <x v="1"/>
    <x v="0"/>
    <s v="Gidec"/>
    <s v="Suies"/>
    <s v="Woodchip"/>
    <s v="฿ 600"/>
    <x v="1"/>
    <s v="฿ 600"/>
    <s v="฿ 100"/>
    <n v="15"/>
    <x v="0"/>
  </r>
  <r>
    <n v="16"/>
    <s v="Tuesday, March 01, 2022"/>
    <n v="2022"/>
    <x v="2"/>
    <n v="1"/>
    <x v="1"/>
    <s v="Mike"/>
    <s v="72-1001/1002"/>
    <n v="44"/>
    <x v="2"/>
    <x v="1"/>
    <s v="Safeskin"/>
    <s v="X1 Port"/>
    <s v="Woodpellet"/>
    <s v="฿ 400"/>
    <x v="1"/>
    <m/>
    <m/>
    <n v="13"/>
    <x v="0"/>
  </r>
  <r>
    <n v="17"/>
    <s v="Tuesday, March 01, 2022"/>
    <n v="2022"/>
    <x v="2"/>
    <n v="1"/>
    <x v="0"/>
    <s v="Lee"/>
    <s v="72-0466/0467"/>
    <n v="65"/>
    <x v="1"/>
    <x v="1"/>
    <s v="Top glove"/>
    <s v="X1 Port"/>
    <s v="Woodchip"/>
    <s v="฿ 600"/>
    <x v="1"/>
    <m/>
    <m/>
    <n v="12"/>
    <x v="0"/>
  </r>
  <r>
    <n v="18"/>
    <s v="Wednesday, June 01, 2022"/>
    <n v="2022"/>
    <x v="5"/>
    <n v="1"/>
    <x v="1"/>
    <s v="Lee"/>
    <s v="72-1001/1002"/>
    <n v="80"/>
    <x v="1"/>
    <x v="1"/>
    <s v="Alex"/>
    <s v="Top glove"/>
    <s v="Woodpellet"/>
    <s v="฿ 800"/>
    <x v="1"/>
    <s v="฿ 800"/>
    <s v="฿ 100"/>
    <n v="11"/>
    <x v="0"/>
  </r>
  <r>
    <n v="19"/>
    <s v="Friday, July 01, 2022"/>
    <n v="2022"/>
    <x v="6"/>
    <n v="1"/>
    <x v="0"/>
    <s v="Lee"/>
    <s v="72-0466/0467"/>
    <n v="25"/>
    <x v="0"/>
    <x v="1"/>
    <s v="Giza"/>
    <s v="X1 Port"/>
    <s v="Woodchip"/>
    <s v="฿ 400"/>
    <x v="2"/>
    <s v="฿ 400"/>
    <s v="฿ 150"/>
    <n v="18"/>
    <x v="0"/>
  </r>
  <r>
    <n v="20"/>
    <s v="Monday, August 01, 2022"/>
    <n v="2022"/>
    <x v="7"/>
    <n v="1"/>
    <x v="1"/>
    <s v="Lee"/>
    <s v="72-1001/1002"/>
    <n v="25"/>
    <x v="0"/>
    <x v="0"/>
    <s v="Gidec"/>
    <s v="Safeskin"/>
    <s v="Woodpellet"/>
    <s v="฿ 400"/>
    <x v="1"/>
    <s v="฿ 400"/>
    <s v="฿ 100"/>
    <n v="13"/>
    <x v="1"/>
  </r>
  <r>
    <n v="21"/>
    <s v="Monday, August 01, 2022"/>
    <n v="2022"/>
    <x v="7"/>
    <n v="1"/>
    <x v="0"/>
    <s v="Lee"/>
    <s v="72-0466/0467"/>
    <n v="25"/>
    <x v="0"/>
    <x v="1"/>
    <s v="Safeskin"/>
    <s v="Mina"/>
    <s v="Woodchip"/>
    <s v="฿ 400"/>
    <x v="1"/>
    <m/>
    <m/>
    <n v="15"/>
    <x v="1"/>
  </r>
  <r>
    <n v="22"/>
    <s v="Saturday, October 01, 2022"/>
    <n v="2022"/>
    <x v="9"/>
    <n v="1"/>
    <x v="1"/>
    <s v="Mike"/>
    <s v="72-1001/1002"/>
    <n v="25"/>
    <x v="0"/>
    <x v="1"/>
    <s v="Air Port"/>
    <s v="X1 Port"/>
    <s v="Woodpellet"/>
    <s v="฿ 400"/>
    <x v="3"/>
    <s v="฿ 400"/>
    <s v="฿ 200"/>
    <n v="14"/>
    <x v="0"/>
  </r>
  <r>
    <n v="23"/>
    <s v="Saturday, October 01, 2022"/>
    <n v="2022"/>
    <x v="9"/>
    <n v="1"/>
    <x v="0"/>
    <s v="Mike"/>
    <s v="72-0466/0467"/>
    <n v="25"/>
    <x v="0"/>
    <x v="1"/>
    <s v="Xunthai"/>
    <s v="Gidec"/>
    <s v="Woodchip"/>
    <s v="฿ 400"/>
    <x v="0"/>
    <m/>
    <m/>
    <n v="12"/>
    <x v="0"/>
  </r>
  <r>
    <n v="24"/>
    <s v="Saturday, October 01, 2022"/>
    <n v="2022"/>
    <x v="9"/>
    <n v="1"/>
    <x v="1"/>
    <s v="Mike"/>
    <s v="72-1001/1002"/>
    <n v="15"/>
    <x v="0"/>
    <x v="1"/>
    <s v="PT"/>
    <s v="Safeskin"/>
    <s v="Woodpellet"/>
    <s v="฿ 400"/>
    <x v="1"/>
    <m/>
    <m/>
    <n v="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2"/>
    <x v="0"/>
    <n v="1"/>
    <x v="0"/>
    <s v="Mike"/>
    <s v="72-0466/0467"/>
    <n v="25"/>
    <x v="0"/>
    <s v="Return"/>
    <s v="Xunthai"/>
    <s v="Gidec"/>
    <x v="0"/>
    <n v="400"/>
    <n v="400"/>
    <n v="400"/>
    <n v="400"/>
    <n v="14"/>
    <x v="0"/>
  </r>
  <r>
    <n v="2022"/>
    <x v="1"/>
    <n v="1"/>
    <x v="1"/>
    <s v="Mike"/>
    <s v="72-1001/1002"/>
    <n v="15"/>
    <x v="0"/>
    <s v="Return"/>
    <s v="Port Said"/>
    <s v="Safeskin"/>
    <x v="1"/>
    <n v="400"/>
    <n v="100"/>
    <n v="400"/>
    <n v="100"/>
    <n v="11"/>
    <x v="0"/>
  </r>
  <r>
    <n v="2022"/>
    <x v="2"/>
    <n v="1"/>
    <x v="0"/>
    <s v="Mike"/>
    <s v="72-0466/0467"/>
    <n v="65"/>
    <x v="1"/>
    <s v="Return"/>
    <s v="Gidec"/>
    <s v="Suies"/>
    <x v="0"/>
    <n v="600"/>
    <n v="100"/>
    <n v="600"/>
    <n v="100"/>
    <n v="15"/>
    <x v="0"/>
  </r>
  <r>
    <n v="2022"/>
    <x v="3"/>
    <n v="1"/>
    <x v="1"/>
    <s v="Mike"/>
    <s v="72-1001/1002"/>
    <n v="44"/>
    <x v="2"/>
    <s v="One-Way"/>
    <s v="Safeskin"/>
    <s v="X1 Port"/>
    <x v="1"/>
    <n v="400"/>
    <n v="100"/>
    <n v="400"/>
    <n v="100"/>
    <n v="13"/>
    <x v="0"/>
  </r>
  <r>
    <n v="2022"/>
    <x v="4"/>
    <n v="1"/>
    <x v="0"/>
    <s v="Lee"/>
    <s v="72-0466/0467"/>
    <n v="65"/>
    <x v="1"/>
    <s v="One-Way"/>
    <s v="Top glove"/>
    <s v="X1 Port"/>
    <x v="0"/>
    <n v="600"/>
    <n v="100"/>
    <n v="600"/>
    <n v="100"/>
    <n v="12"/>
    <x v="0"/>
  </r>
  <r>
    <n v="2022"/>
    <x v="5"/>
    <n v="1"/>
    <x v="1"/>
    <s v="Mike"/>
    <s v="72-1001/1002"/>
    <n v="80"/>
    <x v="1"/>
    <s v="One-Way"/>
    <s v="Alex"/>
    <s v="Top glove"/>
    <x v="1"/>
    <n v="800"/>
    <n v="100"/>
    <n v="800"/>
    <n v="100"/>
    <n v="11"/>
    <x v="0"/>
  </r>
  <r>
    <n v="2022"/>
    <x v="6"/>
    <n v="1"/>
    <x v="0"/>
    <s v="Lee"/>
    <s v="72-0466/0467"/>
    <n v="25"/>
    <x v="0"/>
    <s v="One-Way"/>
    <s v="Giza"/>
    <s v="X1 Port"/>
    <x v="0"/>
    <n v="400"/>
    <n v="150"/>
    <n v="400"/>
    <n v="150"/>
    <n v="18"/>
    <x v="0"/>
  </r>
  <r>
    <n v="2022"/>
    <x v="7"/>
    <n v="1"/>
    <x v="1"/>
    <s v="Lee"/>
    <s v="72-1001/1002"/>
    <n v="25"/>
    <x v="0"/>
    <s v="Return"/>
    <s v="Gidec"/>
    <s v="Safeskin"/>
    <x v="1"/>
    <n v="400"/>
    <n v="100"/>
    <n v="400"/>
    <n v="100"/>
    <n v="13"/>
    <x v="1"/>
  </r>
  <r>
    <n v="2022"/>
    <x v="8"/>
    <n v="1"/>
    <x v="0"/>
    <s v="Lee"/>
    <s v="72-0466/0467"/>
    <n v="25"/>
    <x v="0"/>
    <s v="One-Way"/>
    <s v="Safeskin"/>
    <s v="Mina"/>
    <x v="0"/>
    <n v="400"/>
    <n v="100"/>
    <n v="400"/>
    <n v="100"/>
    <n v="15"/>
    <x v="1"/>
  </r>
  <r>
    <n v="2022"/>
    <x v="9"/>
    <n v="1"/>
    <x v="1"/>
    <s v="Mike"/>
    <s v="72-1001/1002"/>
    <n v="25"/>
    <x v="0"/>
    <s v="One-Way"/>
    <s v="Air Port"/>
    <s v="X1 Port"/>
    <x v="1"/>
    <n v="400"/>
    <n v="200"/>
    <n v="400"/>
    <n v="200"/>
    <n v="14"/>
    <x v="0"/>
  </r>
  <r>
    <n v="2022"/>
    <x v="10"/>
    <n v="1"/>
    <x v="0"/>
    <s v="Mike"/>
    <s v="72-0466/0467"/>
    <n v="25"/>
    <x v="0"/>
    <s v="One-Way"/>
    <s v="Xunthai"/>
    <s v="Gidec"/>
    <x v="0"/>
    <n v="400"/>
    <n v="400"/>
    <n v="400"/>
    <n v="400"/>
    <n v="12"/>
    <x v="0"/>
  </r>
  <r>
    <n v="2022"/>
    <x v="11"/>
    <n v="1"/>
    <x v="1"/>
    <s v="Mike"/>
    <s v="72-1001/1002"/>
    <n v="15"/>
    <x v="0"/>
    <s v="One-Way"/>
    <s v="PT"/>
    <s v="Safeskin"/>
    <x v="1"/>
    <n v="400"/>
    <n v="100"/>
    <n v="400"/>
    <n v="100"/>
    <n v="9"/>
    <x v="0"/>
  </r>
  <r>
    <n v="2022"/>
    <x v="0"/>
    <n v="1"/>
    <x v="0"/>
    <s v="Mike"/>
    <s v="72-0466/0467"/>
    <n v="25"/>
    <x v="0"/>
    <s v="Return"/>
    <s v="Xunthai"/>
    <s v="Gidec"/>
    <x v="0"/>
    <n v="400"/>
    <n v="400"/>
    <n v="400"/>
    <n v="400"/>
    <n v="14"/>
    <x v="0"/>
  </r>
  <r>
    <n v="2022"/>
    <x v="1"/>
    <n v="1"/>
    <x v="1"/>
    <s v="Mike"/>
    <s v="72-1001/1002"/>
    <n v="15"/>
    <x v="0"/>
    <s v="Return"/>
    <s v="Port Said"/>
    <s v="Safeskin"/>
    <x v="1"/>
    <n v="400"/>
    <n v="100"/>
    <n v="400"/>
    <n v="100"/>
    <n v="11"/>
    <x v="1"/>
  </r>
  <r>
    <n v="2022"/>
    <x v="2"/>
    <n v="1"/>
    <x v="0"/>
    <s v="Mike"/>
    <s v="72-0466/0467"/>
    <n v="65"/>
    <x v="1"/>
    <s v="Return"/>
    <s v="Gidec"/>
    <s v="Suies"/>
    <x v="0"/>
    <n v="600"/>
    <n v="100"/>
    <n v="600"/>
    <n v="100"/>
    <n v="15"/>
    <x v="0"/>
  </r>
  <r>
    <n v="2022"/>
    <x v="2"/>
    <n v="1"/>
    <x v="1"/>
    <s v="Mike"/>
    <s v="72-1001/1002"/>
    <n v="44"/>
    <x v="2"/>
    <s v="One-Way"/>
    <s v="Safeskin"/>
    <s v="X1 Port"/>
    <x v="1"/>
    <n v="400"/>
    <n v="100"/>
    <m/>
    <m/>
    <n v="13"/>
    <x v="0"/>
  </r>
  <r>
    <n v="2022"/>
    <x v="2"/>
    <n v="1"/>
    <x v="0"/>
    <s v="Lee"/>
    <s v="72-0466/0467"/>
    <n v="65"/>
    <x v="1"/>
    <s v="One-Way"/>
    <s v="Top glove"/>
    <s v="X1 Port"/>
    <x v="0"/>
    <n v="600"/>
    <n v="100"/>
    <m/>
    <m/>
    <n v="12"/>
    <x v="0"/>
  </r>
  <r>
    <n v="2022"/>
    <x v="5"/>
    <n v="1"/>
    <x v="1"/>
    <s v="Lee"/>
    <s v="72-1001/1002"/>
    <n v="80"/>
    <x v="1"/>
    <s v="One-Way"/>
    <s v="Alex"/>
    <s v="Top glove"/>
    <x v="1"/>
    <n v="800"/>
    <n v="100"/>
    <n v="800"/>
    <n v="100"/>
    <n v="11"/>
    <x v="0"/>
  </r>
  <r>
    <n v="2022"/>
    <x v="6"/>
    <n v="1"/>
    <x v="0"/>
    <s v="Lee"/>
    <s v="72-0466/0467"/>
    <n v="25"/>
    <x v="0"/>
    <s v="One-Way"/>
    <s v="Giza"/>
    <s v="X1 Port"/>
    <x v="0"/>
    <n v="400"/>
    <n v="150"/>
    <n v="400"/>
    <n v="150"/>
    <n v="18"/>
    <x v="0"/>
  </r>
  <r>
    <n v="2022"/>
    <x v="7"/>
    <n v="1"/>
    <x v="1"/>
    <s v="Lee"/>
    <s v="72-1001/1002"/>
    <n v="25"/>
    <x v="0"/>
    <s v="Return"/>
    <s v="Gidec"/>
    <s v="Safeskin"/>
    <x v="1"/>
    <n v="400"/>
    <n v="100"/>
    <n v="400"/>
    <n v="100"/>
    <n v="13"/>
    <x v="1"/>
  </r>
  <r>
    <n v="2022"/>
    <x v="7"/>
    <n v="1"/>
    <x v="0"/>
    <s v="Lee"/>
    <s v="72-0466/0467"/>
    <n v="25"/>
    <x v="0"/>
    <s v="One-Way"/>
    <s v="Safeskin"/>
    <s v="Mina"/>
    <x v="0"/>
    <n v="400"/>
    <n v="100"/>
    <m/>
    <m/>
    <n v="15"/>
    <x v="1"/>
  </r>
  <r>
    <n v="2022"/>
    <x v="9"/>
    <n v="1"/>
    <x v="1"/>
    <s v="Mike"/>
    <s v="72-1001/1002"/>
    <n v="25"/>
    <x v="0"/>
    <s v="One-Way"/>
    <s v="Air Port"/>
    <s v="X1 Port"/>
    <x v="1"/>
    <n v="400"/>
    <n v="200"/>
    <n v="400"/>
    <n v="200"/>
    <n v="14"/>
    <x v="0"/>
  </r>
  <r>
    <n v="2022"/>
    <x v="9"/>
    <n v="1"/>
    <x v="0"/>
    <s v="Mike"/>
    <s v="72-0466/0467"/>
    <n v="25"/>
    <x v="0"/>
    <s v="One-Way"/>
    <s v="Xunthai"/>
    <s v="Gidec"/>
    <x v="0"/>
    <n v="400"/>
    <n v="400"/>
    <m/>
    <m/>
    <n v="12"/>
    <x v="0"/>
  </r>
  <r>
    <n v="2022"/>
    <x v="9"/>
    <n v="1"/>
    <x v="1"/>
    <s v="Mike"/>
    <s v="72-1001/1002"/>
    <n v="15"/>
    <x v="0"/>
    <s v="One-Way"/>
    <s v="PT"/>
    <s v="Safeskin"/>
    <x v="1"/>
    <n v="400"/>
    <n v="100"/>
    <m/>
    <m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E35:F38" firstHeaderRow="1" firstDataRow="1" firstDataCol="1"/>
  <pivotFields count="20">
    <pivotField showAll="0"/>
    <pivotField showAll="0"/>
    <pivotField showAll="0"/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Distance Traveled" fld="10" subtotal="count" baseField="0" baseItem="0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/>
    </format>
  </formats>
  <pivotTableStyleInfo name="PivotStyleDark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J10:P11" firstHeaderRow="0" firstDataRow="1" firstDataCol="0"/>
  <pivotFields count="23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numFmtId="181" showAll="0"/>
    <pivotField dataField="1" numFmtId="181" showAll="0"/>
    <pivotField dataField="1" showAll="0"/>
    <pivotField dataField="1" showAll="0"/>
    <pivotField showAll="0"/>
    <pivotField showAll="0"/>
    <pivotField dragToCol="0" dragToPage="0" dragToRow="0" defaultSubtotal="0" showAll="0"/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Driver Salary" fld="14" baseField="0" baseItem="0"/>
    <dataField name="Sum of Buddy Salary" fld="15" baseField="0" baseItem="0"/>
    <dataField name="Sum of Driver wage/trip" fld="12" baseField="0" baseItem="0"/>
    <dataField name="Sum of Buddy wage/trip" fld="13" baseField="0" baseItem="0"/>
    <dataField name="Sum of Total Expenses" fld="19" baseField="0" baseItem="0"/>
    <dataField name="Sum of Total Salary" fld="20" baseField="0" baseItem="0"/>
    <dataField name="Sum of Total Wages" fld="21" baseField="0" baseItem="0" numFmtId="181"/>
  </dataFields>
  <pivotTableStyleInfo name="PivotStyleDark3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B2:B3" firstHeaderRow="1" firstDataRow="1" firstDataCol="0"/>
  <pivotFields count="20">
    <pivotField dataField="1" showAll="0"/>
    <pivotField showAll="0"/>
    <pivotField showAll="0"/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dataFields count="1">
    <dataField name="Count of N" fld="0" subtotal="count" baseField="0" baseItem="0"/>
  </dataFields>
  <formats count="9"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dataOnly="0" labelOnly="1" outline="0" fieldPosition="0"/>
    </format>
  </formats>
  <pivotTableStyleInfo name="PivotStyleDark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F10:G1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81" showAll="0"/>
    <pivotField numFmtId="181"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Goods" fld="11" subtotal="count" baseField="0" baseItem="0"/>
  </dataFields>
  <pivotTableStyleInfo name="PivotStyleMedium20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B35:B36" firstHeaderRow="1" firstDataRow="1" firstDataCol="0"/>
  <pivotFields count="20">
    <pivotField showAll="0"/>
    <pivotField showAll="0"/>
    <pivotField showAll="0"/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dataFields count="1">
    <dataField name="Sum of Distance (km)" fld="8" baseField="0" baseItem="0"/>
  </dataFields>
  <formats count="9"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outline="0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fieldPosition="0"/>
    </format>
  </formats>
  <pivotTableStyleInfo name="PivotStyleDark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7">
  <location ref="L19:M32" firstHeaderRow="1" firstDataRow="1" firstDataCol="1"/>
  <pivotFields count="2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numFmtId="181" showAll="0"/>
    <pivotField numFmtId="18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rip Classify" fld="7" subtotal="count" baseField="1" baseItem="0"/>
  </dataFields>
  <pivotTableStyleInfo name="PivotStyleMedium20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4">
  <location ref="I19:J32" firstHeaderRow="1" firstDataRow="1" firstDataCol="1"/>
  <pivotFields count="2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81" showAll="0"/>
    <pivotField dataField="1" numFmtId="181"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uddy wage/trip" fld="13" baseField="0" baseItem="0"/>
  </dataFields>
  <formats count="6">
    <format dxfId="27">
      <pivotArea dataOnly="0" labelOnly="1" fieldPosition="0">
        <references count="1">
          <reference field="1" count="1">
            <x v="4"/>
          </reference>
        </references>
      </pivotArea>
    </format>
    <format dxfId="28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31">
      <pivotArea outline="0" collapsedLevelsAreSubtotals="1" fieldPosition="0"/>
    </format>
    <format dxfId="32">
      <pivotArea dataOnly="0" labelOnly="1" outline="0" fieldPosition="0"/>
    </format>
  </formats>
  <pivotTableStyleInfo name="PivotStyleMedium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9">
  <location ref="F19:G32" firstHeaderRow="1" firstDataRow="1" firstDataCol="1"/>
  <pivotFields count="2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181" showAll="0"/>
    <pivotField numFmtId="181"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river wage/trip" fld="12" baseField="0" baseItem="0"/>
  </dataFields>
  <formats count="6">
    <format dxfId="33">
      <pivotArea dataOnly="0" labelOnly="1" fieldPosition="0">
        <references count="1">
          <reference field="1" count="1">
            <x v="4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fieldPosition="0"/>
    </format>
    <format dxfId="36">
      <pivotArea dataOnly="0" labelOnly="1" fieldPosition="0">
        <references count="1">
          <reference field="1" count="0"/>
        </references>
      </pivotArea>
    </format>
    <format dxfId="37">
      <pivotArea outline="0" collapsedLevelsAreSubtotals="1" fieldPosition="0"/>
    </format>
    <format dxfId="38">
      <pivotArea dataOnly="0" labelOnly="1" outline="0" fieldPosition="0"/>
    </format>
  </formats>
  <pivotTableStyleInfo name="PivotStyleMedium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B8:D12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181" showAll="0"/>
    <pivotField dataField="1" numFmtId="181"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river wage/trip" fld="12" baseField="0" baseItem="0"/>
    <dataField name="Sum of Buddy wage/trip" fld="13" baseField="0" baseItem="0"/>
  </dataFields>
  <pivotTableStyleInfo name="PivotStyleDark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C19:D32" firstHeaderRow="1" firstDataRow="1" firstDataCol="1"/>
  <pivotFields count="2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81" showAll="0"/>
    <pivotField numFmtId="181"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Expenses by month" fld="22" baseField="0" baseItem="0" numFmtId="180"/>
  </dataFields>
  <formats count="6">
    <format dxfId="39">
      <pivotArea dataOnly="0" labelOnly="1" fieldPosition="0">
        <references count="1">
          <reference field="1" count="1">
            <x v="4"/>
          </reference>
        </references>
      </pivotArea>
    </format>
    <format dxfId="40">
      <pivotArea collapsedLevelsAreSubtotals="1" fieldPosition="0">
        <references count="1">
          <reference field="1" count="0"/>
        </references>
      </pivotArea>
    </format>
    <format dxfId="41">
      <pivotArea field="1" type="button" dataOnly="0" labelOnly="1" outline="0" fieldPosition="0"/>
    </format>
    <format dxfId="42">
      <pivotArea dataOnly="0" labelOnly="1" fieldPosition="0">
        <references count="1">
          <reference field="1" count="0"/>
        </references>
      </pivotArea>
    </format>
    <format dxfId="43">
      <pivotArea outline="0" collapsedLevelsAreSubtotals="1" fieldPosition="0"/>
    </format>
    <format dxfId="44">
      <pivotArea dataOnly="0" labelOnly="1" outline="0" fieldPosition="0"/>
    </format>
  </formats>
  <pivotTableStyleInfo name="PivotStyleMedium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J2:K5" firstHeaderRow="1" firstDataRow="1" firstDataCol="1"/>
  <pivotFields count="20">
    <pivotField showAll="0"/>
    <pivotField showAll="0"/>
    <pivotField showAll="0"/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unt of Trip Classify" fld="9" subtotal="count" baseField="0" baseItem="0"/>
  </dataFields>
  <formats count="6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fieldPosition="0"/>
    </format>
  </formats>
  <pivotTableStyleInfo name="PivotStyleDark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D2:E4" firstHeaderRow="1" firstDataRow="1" firstDataCol="1"/>
  <pivotFields count="20">
    <pivotField showAll="0"/>
    <pivotField showAll="0"/>
    <pivotField showAll="0"/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9"/>
  </rowFields>
  <rowItems count="2">
    <i>
      <x/>
    </i>
    <i t="grand">
      <x/>
    </i>
  </rowItems>
  <colItems count="1">
    <i/>
  </colItems>
  <dataFields count="1">
    <dataField name="Count of Hired Transportation" fld="19" subtotal="count" baseField="0" baseItem="0"/>
  </dataFields>
  <formats count="6">
    <format dxfId="51">
      <pivotArea type="all" dataOnly="0" outline="0" fieldPosition="0"/>
    </format>
    <format dxfId="52">
      <pivotArea outline="0" collapsedLevelsAreSubtotals="1" fieldPosition="0"/>
    </format>
    <format dxfId="53">
      <pivotArea dataOnly="0" labelOnly="1" outline="0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dataOnly="0" labelOnly="1" outline="0" fieldPosition="0"/>
    </format>
  </formats>
  <pivotTableStyleInfo name="PivotStyleDark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river" sourceName="Driver">
  <pivotTables>
    <pivotTable tabId="4" name="PivotTable2"/>
    <pivotTable tabId="4" name="PivotTable3"/>
    <pivotTable tabId="4" name="PivotTable4"/>
    <pivotTable tabId="4" name="PivotTable12"/>
    <pivotTable tabId="4" name="PivotTable13"/>
  </pivotTables>
  <data>
    <tabular pivotCacheId="1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4" name="PivotTable2"/>
    <pivotTable tabId="4" name="PivotTable12"/>
    <pivotTable tabId="4" name="PivotTable13"/>
    <pivotTable tabId="4" name="PivotTable3"/>
    <pivotTable tabId="4" name="PivotTable4"/>
  </pivotTables>
  <data>
    <tabular pivotCacheId="1">
      <items count="12">
        <i x="0" s="0"/>
        <i x="1" s="0"/>
        <i x="2" s="1"/>
        <i x="3" s="0"/>
        <i x="4" s="0"/>
        <i x="5" s="0"/>
        <i x="6" s="0"/>
        <i x="7" s="0"/>
        <i x="8" s="0"/>
        <i x="9" s="0"/>
        <i x="10" s="0"/>
        <i x="11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rivers" cache="Slicer_Driver" caption="Driver" showCaption="0" style="SlicerStyleDark2 2" rowHeight="504000"/>
  <slicer name="Month" cache="Slicer_Month" caption="Month" columnCount="3" showCaption="0" style="SlicerStyleDark2 2" rowHeight="50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rivers 1" cache="Slicer_Driver" caption="Driver" showCaption="0" style="SlicerStyleDark2 2" rowHeight="504000"/>
  <slicer name="Month 1" cache="Slicer_Month" caption="Month" columnCount="3" showCaption="0" style="SlicerStyleDark2 2" rowHeight="504000"/>
</slicers>
</file>

<file path=xl/tables/table1.xml><?xml version="1.0" encoding="utf-8"?>
<table xmlns="http://schemas.openxmlformats.org/spreadsheetml/2006/main" id="1" name="Table1" displayName="Table1" ref="A1:F25">
  <autoFilter xmlns:etc="http://www.wps.cn/officeDocument/2017/etCustomData" ref="A1:F25" etc:filterBottomFollowUsedRange="0"/>
  <tableColumns count="6">
    <tableColumn id="1" name="Trip" dataDxfId="57" totalsRowLabel="Total"/>
    <tableColumn id="2" name="Date" dataDxfId="58"/>
    <tableColumn id="3" name="Driver" dataDxfId="59"/>
    <tableColumn id="4" name="Truck" dataDxfId="60"/>
    <tableColumn id="5" name="From" dataDxfId="61"/>
    <tableColumn id="6" name="To" dataDxfId="62" totalsRowFunction="count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T25"/>
  <sheetViews>
    <sheetView workbookViewId="0">
      <selection activeCell="M1" sqref="L$1:L$1048576 M$1:M$1048576"/>
    </sheetView>
  </sheetViews>
  <sheetFormatPr defaultColWidth="9" defaultRowHeight="15"/>
  <cols>
    <col min="1" max="1" width="6.14285714285714" customWidth="1"/>
    <col min="2" max="2" width="32.7142857142857" customWidth="1"/>
    <col min="4" max="4" width="7.42857142857143" customWidth="1"/>
    <col min="5" max="5" width="4.71428571428571" customWidth="1"/>
    <col min="6" max="6" width="9.57142857142857" customWidth="1"/>
    <col min="7" max="7" width="14.2857142857143" customWidth="1"/>
    <col min="8" max="8" width="20.1428571428571" customWidth="1"/>
    <col min="9" max="9" width="8.57142857142857" customWidth="1"/>
    <col min="10" max="10" width="9" customWidth="1"/>
    <col min="11" max="11" width="22.4285714285714" customWidth="1"/>
    <col min="12" max="12" width="21.4285714285714" customWidth="1"/>
    <col min="13" max="13" width="19.7142857142857" customWidth="1"/>
    <col min="14" max="14" width="20.2857142857143" customWidth="1"/>
    <col min="15" max="15" width="13.8571428571429" style="24" customWidth="1"/>
    <col min="16" max="18" width="11.4285714285714" style="24" customWidth="1"/>
    <col min="19" max="19" width="8.57142857142857" customWidth="1"/>
    <col min="20" max="20" width="8.85714285714286" customWidth="1"/>
  </cols>
  <sheetData>
    <row r="1" ht="45.75" spans="1:20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30" t="s">
        <v>10</v>
      </c>
      <c r="L1" s="25" t="s">
        <v>11</v>
      </c>
      <c r="M1" s="25" t="s">
        <v>12</v>
      </c>
      <c r="N1" s="25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25" t="s">
        <v>18</v>
      </c>
      <c r="T1" s="25" t="s">
        <v>19</v>
      </c>
    </row>
    <row r="2" spans="1:20">
      <c r="A2" s="26">
        <v>1</v>
      </c>
      <c r="B2" s="27" t="s">
        <v>20</v>
      </c>
      <c r="C2" s="26">
        <v>2022</v>
      </c>
      <c r="D2" s="26" t="s">
        <v>21</v>
      </c>
      <c r="E2" s="26">
        <v>1</v>
      </c>
      <c r="F2" s="26" t="s">
        <v>22</v>
      </c>
      <c r="G2" s="26" t="s">
        <v>23</v>
      </c>
      <c r="H2" s="26" t="s">
        <v>24</v>
      </c>
      <c r="I2" s="26">
        <v>25</v>
      </c>
      <c r="J2" s="26" t="s">
        <v>25</v>
      </c>
      <c r="K2" s="32" t="s">
        <v>26</v>
      </c>
      <c r="L2" s="26" t="s">
        <v>27</v>
      </c>
      <c r="M2" s="26" t="s">
        <v>28</v>
      </c>
      <c r="N2" s="26" t="s">
        <v>29</v>
      </c>
      <c r="O2" s="33">
        <v>400</v>
      </c>
      <c r="P2" s="33">
        <v>400</v>
      </c>
      <c r="Q2" s="33">
        <v>400</v>
      </c>
      <c r="R2" s="33">
        <v>400</v>
      </c>
      <c r="S2" s="26">
        <v>14</v>
      </c>
      <c r="T2" s="26" t="s">
        <v>30</v>
      </c>
    </row>
    <row r="3" spans="1:20">
      <c r="A3" s="28">
        <v>2</v>
      </c>
      <c r="B3" s="29" t="s">
        <v>31</v>
      </c>
      <c r="C3" s="28">
        <v>2022</v>
      </c>
      <c r="D3" s="28" t="s">
        <v>32</v>
      </c>
      <c r="E3" s="28">
        <v>1</v>
      </c>
      <c r="F3" s="28" t="s">
        <v>33</v>
      </c>
      <c r="G3" s="28" t="s">
        <v>23</v>
      </c>
      <c r="H3" s="28" t="s">
        <v>34</v>
      </c>
      <c r="I3" s="28">
        <v>15</v>
      </c>
      <c r="J3" s="28" t="s">
        <v>25</v>
      </c>
      <c r="K3" s="34" t="s">
        <v>26</v>
      </c>
      <c r="L3" s="28" t="s">
        <v>35</v>
      </c>
      <c r="M3" s="28" t="s">
        <v>36</v>
      </c>
      <c r="N3" s="28" t="s">
        <v>37</v>
      </c>
      <c r="O3" s="35">
        <v>400</v>
      </c>
      <c r="P3" s="35">
        <v>100</v>
      </c>
      <c r="Q3" s="35">
        <v>400</v>
      </c>
      <c r="R3" s="35">
        <v>100</v>
      </c>
      <c r="S3" s="28">
        <v>11</v>
      </c>
      <c r="T3" s="28" t="s">
        <v>30</v>
      </c>
    </row>
    <row r="4" spans="1:20">
      <c r="A4" s="26">
        <v>3</v>
      </c>
      <c r="B4" s="27" t="s">
        <v>38</v>
      </c>
      <c r="C4" s="26">
        <v>2022</v>
      </c>
      <c r="D4" s="26" t="s">
        <v>39</v>
      </c>
      <c r="E4" s="26">
        <v>1</v>
      </c>
      <c r="F4" s="26" t="s">
        <v>22</v>
      </c>
      <c r="G4" s="26" t="s">
        <v>23</v>
      </c>
      <c r="H4" s="26" t="s">
        <v>24</v>
      </c>
      <c r="I4" s="26">
        <v>65</v>
      </c>
      <c r="J4" s="26" t="s">
        <v>40</v>
      </c>
      <c r="K4" s="32" t="s">
        <v>26</v>
      </c>
      <c r="L4" s="26" t="s">
        <v>28</v>
      </c>
      <c r="M4" s="26" t="s">
        <v>41</v>
      </c>
      <c r="N4" s="26" t="s">
        <v>29</v>
      </c>
      <c r="O4" s="33">
        <v>600</v>
      </c>
      <c r="P4" s="33">
        <v>100</v>
      </c>
      <c r="Q4" s="33">
        <v>600</v>
      </c>
      <c r="R4" s="33">
        <v>100</v>
      </c>
      <c r="S4" s="26">
        <v>15</v>
      </c>
      <c r="T4" s="26" t="s">
        <v>30</v>
      </c>
    </row>
    <row r="5" spans="1:20">
      <c r="A5" s="28">
        <v>4</v>
      </c>
      <c r="B5" s="29" t="s">
        <v>42</v>
      </c>
      <c r="C5" s="28">
        <v>2022</v>
      </c>
      <c r="D5" s="28" t="s">
        <v>43</v>
      </c>
      <c r="E5" s="28">
        <v>1</v>
      </c>
      <c r="F5" s="28" t="s">
        <v>33</v>
      </c>
      <c r="G5" s="28" t="s">
        <v>23</v>
      </c>
      <c r="H5" s="28" t="s">
        <v>34</v>
      </c>
      <c r="I5" s="28">
        <v>44</v>
      </c>
      <c r="J5" s="28" t="s">
        <v>44</v>
      </c>
      <c r="K5" s="34" t="s">
        <v>45</v>
      </c>
      <c r="L5" s="28" t="s">
        <v>36</v>
      </c>
      <c r="M5" s="28" t="s">
        <v>46</v>
      </c>
      <c r="N5" s="28" t="s">
        <v>37</v>
      </c>
      <c r="O5" s="35">
        <v>400</v>
      </c>
      <c r="P5" s="35">
        <v>100</v>
      </c>
      <c r="Q5" s="35">
        <v>400</v>
      </c>
      <c r="R5" s="35">
        <v>100</v>
      </c>
      <c r="S5" s="28">
        <v>13</v>
      </c>
      <c r="T5" s="28" t="s">
        <v>30</v>
      </c>
    </row>
    <row r="6" spans="1:20">
      <c r="A6" s="26">
        <v>5</v>
      </c>
      <c r="B6" s="27" t="s">
        <v>47</v>
      </c>
      <c r="C6" s="26">
        <v>2022</v>
      </c>
      <c r="D6" s="26" t="s">
        <v>48</v>
      </c>
      <c r="E6" s="26">
        <v>1</v>
      </c>
      <c r="F6" s="26" t="s">
        <v>22</v>
      </c>
      <c r="G6" s="26" t="s">
        <v>49</v>
      </c>
      <c r="H6" s="26" t="s">
        <v>24</v>
      </c>
      <c r="I6" s="26">
        <v>65</v>
      </c>
      <c r="J6" s="26" t="s">
        <v>40</v>
      </c>
      <c r="K6" s="32" t="s">
        <v>45</v>
      </c>
      <c r="L6" s="26" t="s">
        <v>50</v>
      </c>
      <c r="M6" s="26" t="s">
        <v>46</v>
      </c>
      <c r="N6" s="26" t="s">
        <v>29</v>
      </c>
      <c r="O6" s="33">
        <v>600</v>
      </c>
      <c r="P6" s="33">
        <v>100</v>
      </c>
      <c r="Q6" s="33">
        <v>600</v>
      </c>
      <c r="R6" s="33">
        <v>100</v>
      </c>
      <c r="S6" s="26">
        <v>12</v>
      </c>
      <c r="T6" s="26" t="s">
        <v>30</v>
      </c>
    </row>
    <row r="7" spans="1:20">
      <c r="A7" s="28">
        <v>6</v>
      </c>
      <c r="B7" s="29" t="s">
        <v>51</v>
      </c>
      <c r="C7" s="28">
        <v>2022</v>
      </c>
      <c r="D7" s="28" t="s">
        <v>52</v>
      </c>
      <c r="E7" s="28">
        <v>1</v>
      </c>
      <c r="F7" s="28" t="s">
        <v>33</v>
      </c>
      <c r="G7" s="28" t="s">
        <v>23</v>
      </c>
      <c r="H7" s="28" t="s">
        <v>34</v>
      </c>
      <c r="I7" s="28">
        <v>80</v>
      </c>
      <c r="J7" s="28" t="s">
        <v>40</v>
      </c>
      <c r="K7" s="34" t="s">
        <v>45</v>
      </c>
      <c r="L7" s="28" t="s">
        <v>53</v>
      </c>
      <c r="M7" s="28" t="s">
        <v>50</v>
      </c>
      <c r="N7" s="28" t="s">
        <v>37</v>
      </c>
      <c r="O7" s="35">
        <v>800</v>
      </c>
      <c r="P7" s="35">
        <v>100</v>
      </c>
      <c r="Q7" s="35">
        <v>800</v>
      </c>
      <c r="R7" s="35">
        <v>100</v>
      </c>
      <c r="S7" s="28">
        <v>11</v>
      </c>
      <c r="T7" s="28" t="s">
        <v>30</v>
      </c>
    </row>
    <row r="8" spans="1:20">
      <c r="A8" s="26">
        <v>7</v>
      </c>
      <c r="B8" s="27" t="s">
        <v>54</v>
      </c>
      <c r="C8" s="26">
        <v>2022</v>
      </c>
      <c r="D8" s="26" t="s">
        <v>55</v>
      </c>
      <c r="E8" s="26">
        <v>1</v>
      </c>
      <c r="F8" s="26" t="s">
        <v>22</v>
      </c>
      <c r="G8" s="26" t="s">
        <v>49</v>
      </c>
      <c r="H8" s="26" t="s">
        <v>24</v>
      </c>
      <c r="I8" s="26">
        <v>25</v>
      </c>
      <c r="J8" s="26" t="s">
        <v>25</v>
      </c>
      <c r="K8" s="32" t="s">
        <v>45</v>
      </c>
      <c r="L8" s="26" t="s">
        <v>56</v>
      </c>
      <c r="M8" s="26" t="s">
        <v>46</v>
      </c>
      <c r="N8" s="26" t="s">
        <v>29</v>
      </c>
      <c r="O8" s="33">
        <v>400</v>
      </c>
      <c r="P8" s="33">
        <v>150</v>
      </c>
      <c r="Q8" s="33">
        <v>400</v>
      </c>
      <c r="R8" s="33">
        <v>150</v>
      </c>
      <c r="S8" s="26">
        <v>18</v>
      </c>
      <c r="T8" s="26" t="s">
        <v>30</v>
      </c>
    </row>
    <row r="9" spans="1:20">
      <c r="A9" s="28">
        <v>8</v>
      </c>
      <c r="B9" s="29" t="s">
        <v>57</v>
      </c>
      <c r="C9" s="28">
        <v>2022</v>
      </c>
      <c r="D9" s="28" t="s">
        <v>58</v>
      </c>
      <c r="E9" s="28">
        <v>1</v>
      </c>
      <c r="F9" s="28" t="s">
        <v>33</v>
      </c>
      <c r="G9" s="28" t="s">
        <v>49</v>
      </c>
      <c r="H9" s="28" t="s">
        <v>34</v>
      </c>
      <c r="I9" s="28">
        <v>25</v>
      </c>
      <c r="J9" s="28" t="s">
        <v>25</v>
      </c>
      <c r="K9" s="34" t="s">
        <v>26</v>
      </c>
      <c r="L9" s="28" t="s">
        <v>28</v>
      </c>
      <c r="M9" s="28" t="s">
        <v>36</v>
      </c>
      <c r="N9" s="28" t="s">
        <v>37</v>
      </c>
      <c r="O9" s="35">
        <v>400</v>
      </c>
      <c r="P9" s="35">
        <v>100</v>
      </c>
      <c r="Q9" s="35">
        <v>400</v>
      </c>
      <c r="R9" s="35">
        <v>100</v>
      </c>
      <c r="S9" s="28">
        <v>13</v>
      </c>
      <c r="T9" s="28" t="s">
        <v>59</v>
      </c>
    </row>
    <row r="10" spans="1:20">
      <c r="A10" s="26">
        <v>9</v>
      </c>
      <c r="B10" s="27" t="s">
        <v>60</v>
      </c>
      <c r="C10" s="26">
        <v>2022</v>
      </c>
      <c r="D10" s="26" t="s">
        <v>61</v>
      </c>
      <c r="E10" s="26">
        <v>1</v>
      </c>
      <c r="F10" s="26" t="s">
        <v>22</v>
      </c>
      <c r="G10" s="26" t="s">
        <v>49</v>
      </c>
      <c r="H10" s="26" t="s">
        <v>24</v>
      </c>
      <c r="I10" s="26">
        <v>25</v>
      </c>
      <c r="J10" s="26" t="s">
        <v>25</v>
      </c>
      <c r="K10" s="32" t="s">
        <v>45</v>
      </c>
      <c r="L10" s="26" t="s">
        <v>36</v>
      </c>
      <c r="M10" s="26" t="s">
        <v>62</v>
      </c>
      <c r="N10" s="26" t="s">
        <v>29</v>
      </c>
      <c r="O10" s="33">
        <v>400</v>
      </c>
      <c r="P10" s="33">
        <v>100</v>
      </c>
      <c r="Q10" s="33">
        <v>400</v>
      </c>
      <c r="R10" s="33">
        <v>100</v>
      </c>
      <c r="S10" s="26">
        <v>15</v>
      </c>
      <c r="T10" s="26" t="s">
        <v>59</v>
      </c>
    </row>
    <row r="11" spans="1:20">
      <c r="A11" s="28">
        <v>10</v>
      </c>
      <c r="B11" s="29" t="s">
        <v>63</v>
      </c>
      <c r="C11" s="28">
        <v>2022</v>
      </c>
      <c r="D11" s="28" t="s">
        <v>64</v>
      </c>
      <c r="E11" s="28">
        <v>1</v>
      </c>
      <c r="F11" s="28" t="s">
        <v>33</v>
      </c>
      <c r="G11" s="28" t="s">
        <v>23</v>
      </c>
      <c r="H11" s="28" t="s">
        <v>34</v>
      </c>
      <c r="I11" s="28">
        <v>25</v>
      </c>
      <c r="J11" s="28" t="s">
        <v>25</v>
      </c>
      <c r="K11" s="34" t="s">
        <v>45</v>
      </c>
      <c r="L11" s="28" t="s">
        <v>65</v>
      </c>
      <c r="M11" s="28" t="s">
        <v>46</v>
      </c>
      <c r="N11" s="28" t="s">
        <v>37</v>
      </c>
      <c r="O11" s="35">
        <v>400</v>
      </c>
      <c r="P11" s="35">
        <v>200</v>
      </c>
      <c r="Q11" s="35">
        <v>400</v>
      </c>
      <c r="R11" s="35">
        <v>200</v>
      </c>
      <c r="S11" s="28">
        <v>14</v>
      </c>
      <c r="T11" s="28" t="s">
        <v>30</v>
      </c>
    </row>
    <row r="12" spans="1:20">
      <c r="A12" s="26">
        <v>11</v>
      </c>
      <c r="B12" s="27" t="s">
        <v>66</v>
      </c>
      <c r="C12" s="26">
        <v>2022</v>
      </c>
      <c r="D12" s="26" t="s">
        <v>67</v>
      </c>
      <c r="E12" s="26">
        <v>1</v>
      </c>
      <c r="F12" s="26" t="s">
        <v>22</v>
      </c>
      <c r="G12" s="26" t="s">
        <v>23</v>
      </c>
      <c r="H12" s="26" t="s">
        <v>24</v>
      </c>
      <c r="I12" s="26">
        <v>25</v>
      </c>
      <c r="J12" s="26" t="s">
        <v>25</v>
      </c>
      <c r="K12" s="32" t="s">
        <v>45</v>
      </c>
      <c r="L12" s="26" t="s">
        <v>27</v>
      </c>
      <c r="M12" s="26" t="s">
        <v>28</v>
      </c>
      <c r="N12" s="26" t="s">
        <v>29</v>
      </c>
      <c r="O12" s="33">
        <v>400</v>
      </c>
      <c r="P12" s="33">
        <v>400</v>
      </c>
      <c r="Q12" s="33">
        <v>400</v>
      </c>
      <c r="R12" s="33">
        <v>400</v>
      </c>
      <c r="S12" s="26">
        <v>12</v>
      </c>
      <c r="T12" s="26" t="s">
        <v>30</v>
      </c>
    </row>
    <row r="13" spans="1:20">
      <c r="A13" s="28">
        <v>12</v>
      </c>
      <c r="B13" s="29" t="s">
        <v>68</v>
      </c>
      <c r="C13" s="28">
        <v>2022</v>
      </c>
      <c r="D13" s="28" t="s">
        <v>69</v>
      </c>
      <c r="E13" s="28">
        <v>1</v>
      </c>
      <c r="F13" s="28" t="s">
        <v>33</v>
      </c>
      <c r="G13" s="28" t="s">
        <v>23</v>
      </c>
      <c r="H13" s="28" t="s">
        <v>34</v>
      </c>
      <c r="I13" s="28">
        <v>15</v>
      </c>
      <c r="J13" s="28" t="s">
        <v>25</v>
      </c>
      <c r="K13" s="34" t="s">
        <v>45</v>
      </c>
      <c r="L13" s="28" t="s">
        <v>70</v>
      </c>
      <c r="M13" s="28" t="s">
        <v>36</v>
      </c>
      <c r="N13" s="28" t="s">
        <v>37</v>
      </c>
      <c r="O13" s="35">
        <v>400</v>
      </c>
      <c r="P13" s="35">
        <v>100</v>
      </c>
      <c r="Q13" s="35">
        <v>400</v>
      </c>
      <c r="R13" s="35">
        <v>100</v>
      </c>
      <c r="S13" s="28">
        <v>9</v>
      </c>
      <c r="T13" s="28" t="s">
        <v>30</v>
      </c>
    </row>
    <row r="14" spans="1:20">
      <c r="A14" s="26">
        <v>13</v>
      </c>
      <c r="B14" s="27" t="s">
        <v>20</v>
      </c>
      <c r="C14" s="26">
        <v>2022</v>
      </c>
      <c r="D14" s="26" t="s">
        <v>21</v>
      </c>
      <c r="E14" s="26">
        <v>1</v>
      </c>
      <c r="F14" s="26" t="s">
        <v>22</v>
      </c>
      <c r="G14" s="26" t="s">
        <v>23</v>
      </c>
      <c r="H14" s="26" t="s">
        <v>24</v>
      </c>
      <c r="I14" s="26">
        <v>25</v>
      </c>
      <c r="J14" s="26" t="s">
        <v>25</v>
      </c>
      <c r="K14" s="32" t="s">
        <v>26</v>
      </c>
      <c r="L14" s="26" t="s">
        <v>27</v>
      </c>
      <c r="M14" s="26" t="s">
        <v>28</v>
      </c>
      <c r="N14" s="26" t="s">
        <v>29</v>
      </c>
      <c r="O14" s="33">
        <v>400</v>
      </c>
      <c r="P14" s="33">
        <v>400</v>
      </c>
      <c r="Q14" s="33">
        <v>400</v>
      </c>
      <c r="R14" s="33">
        <v>400</v>
      </c>
      <c r="S14" s="26">
        <v>14</v>
      </c>
      <c r="T14" s="26" t="s">
        <v>30</v>
      </c>
    </row>
    <row r="15" spans="1:20">
      <c r="A15" s="28">
        <v>14</v>
      </c>
      <c r="B15" s="29" t="s">
        <v>31</v>
      </c>
      <c r="C15" s="28">
        <v>2022</v>
      </c>
      <c r="D15" s="28" t="s">
        <v>32</v>
      </c>
      <c r="E15" s="28">
        <v>1</v>
      </c>
      <c r="F15" s="28" t="s">
        <v>33</v>
      </c>
      <c r="G15" s="28" t="s">
        <v>23</v>
      </c>
      <c r="H15" s="28" t="s">
        <v>34</v>
      </c>
      <c r="I15" s="28">
        <v>15</v>
      </c>
      <c r="J15" s="28" t="s">
        <v>25</v>
      </c>
      <c r="K15" s="34" t="s">
        <v>26</v>
      </c>
      <c r="L15" s="28" t="s">
        <v>35</v>
      </c>
      <c r="M15" s="28" t="s">
        <v>36</v>
      </c>
      <c r="N15" s="28" t="s">
        <v>37</v>
      </c>
      <c r="O15" s="35">
        <v>400</v>
      </c>
      <c r="P15" s="35">
        <v>100</v>
      </c>
      <c r="Q15" s="35">
        <v>400</v>
      </c>
      <c r="R15" s="35">
        <v>100</v>
      </c>
      <c r="S15" s="28">
        <v>11</v>
      </c>
      <c r="T15" s="28" t="s">
        <v>59</v>
      </c>
    </row>
    <row r="16" spans="1:20">
      <c r="A16" s="26">
        <v>15</v>
      </c>
      <c r="B16" s="27" t="s">
        <v>38</v>
      </c>
      <c r="C16" s="26">
        <v>2022</v>
      </c>
      <c r="D16" s="26" t="s">
        <v>39</v>
      </c>
      <c r="E16" s="26">
        <v>1</v>
      </c>
      <c r="F16" s="26" t="s">
        <v>22</v>
      </c>
      <c r="G16" s="26" t="s">
        <v>23</v>
      </c>
      <c r="H16" s="26" t="s">
        <v>24</v>
      </c>
      <c r="I16" s="26">
        <v>65</v>
      </c>
      <c r="J16" s="26" t="s">
        <v>40</v>
      </c>
      <c r="K16" s="32" t="s">
        <v>26</v>
      </c>
      <c r="L16" s="26" t="s">
        <v>28</v>
      </c>
      <c r="M16" s="26" t="s">
        <v>41</v>
      </c>
      <c r="N16" s="26" t="s">
        <v>29</v>
      </c>
      <c r="O16" s="33">
        <v>600</v>
      </c>
      <c r="P16" s="33">
        <v>100</v>
      </c>
      <c r="Q16" s="33">
        <v>600</v>
      </c>
      <c r="R16" s="33">
        <v>100</v>
      </c>
      <c r="S16" s="26">
        <v>15</v>
      </c>
      <c r="T16" s="26" t="s">
        <v>30</v>
      </c>
    </row>
    <row r="17" ht="15.75" spans="1:20">
      <c r="A17" s="28">
        <v>16</v>
      </c>
      <c r="B17" s="29" t="s">
        <v>38</v>
      </c>
      <c r="C17" s="28">
        <v>2022</v>
      </c>
      <c r="D17" s="28" t="s">
        <v>39</v>
      </c>
      <c r="E17" s="28">
        <v>1</v>
      </c>
      <c r="F17" s="28" t="s">
        <v>33</v>
      </c>
      <c r="G17" s="28" t="s">
        <v>23</v>
      </c>
      <c r="H17" s="28" t="s">
        <v>34</v>
      </c>
      <c r="I17" s="28">
        <v>44</v>
      </c>
      <c r="J17" s="28" t="s">
        <v>44</v>
      </c>
      <c r="K17" s="34" t="s">
        <v>45</v>
      </c>
      <c r="L17" s="28" t="s">
        <v>36</v>
      </c>
      <c r="M17" s="28" t="s">
        <v>46</v>
      </c>
      <c r="N17" s="28" t="s">
        <v>37</v>
      </c>
      <c r="O17" s="35">
        <v>400</v>
      </c>
      <c r="P17" s="35">
        <v>100</v>
      </c>
      <c r="Q17" s="36"/>
      <c r="R17" s="36"/>
      <c r="S17" s="28">
        <v>13</v>
      </c>
      <c r="T17" s="28" t="s">
        <v>30</v>
      </c>
    </row>
    <row r="18" ht="15.75" spans="1:20">
      <c r="A18" s="26">
        <v>17</v>
      </c>
      <c r="B18" s="27" t="s">
        <v>38</v>
      </c>
      <c r="C18" s="26">
        <v>2022</v>
      </c>
      <c r="D18" s="26" t="s">
        <v>39</v>
      </c>
      <c r="E18" s="26">
        <v>1</v>
      </c>
      <c r="F18" s="26" t="s">
        <v>22</v>
      </c>
      <c r="G18" s="26" t="s">
        <v>49</v>
      </c>
      <c r="H18" s="26" t="s">
        <v>24</v>
      </c>
      <c r="I18" s="26">
        <v>65</v>
      </c>
      <c r="J18" s="26" t="s">
        <v>40</v>
      </c>
      <c r="K18" s="32" t="s">
        <v>45</v>
      </c>
      <c r="L18" s="26" t="s">
        <v>50</v>
      </c>
      <c r="M18" s="26" t="s">
        <v>46</v>
      </c>
      <c r="N18" s="26" t="s">
        <v>29</v>
      </c>
      <c r="O18" s="33">
        <v>600</v>
      </c>
      <c r="P18" s="33">
        <v>100</v>
      </c>
      <c r="Q18" s="37"/>
      <c r="R18" s="37"/>
      <c r="S18" s="26">
        <v>12</v>
      </c>
      <c r="T18" s="26" t="s">
        <v>30</v>
      </c>
    </row>
    <row r="19" spans="1:20">
      <c r="A19" s="28">
        <v>18</v>
      </c>
      <c r="B19" s="29" t="s">
        <v>51</v>
      </c>
      <c r="C19" s="28">
        <v>2022</v>
      </c>
      <c r="D19" s="28" t="s">
        <v>52</v>
      </c>
      <c r="E19" s="28">
        <v>1</v>
      </c>
      <c r="F19" s="28" t="s">
        <v>33</v>
      </c>
      <c r="G19" s="28" t="s">
        <v>49</v>
      </c>
      <c r="H19" s="28" t="s">
        <v>34</v>
      </c>
      <c r="I19" s="28">
        <v>80</v>
      </c>
      <c r="J19" s="28" t="s">
        <v>40</v>
      </c>
      <c r="K19" s="34" t="s">
        <v>45</v>
      </c>
      <c r="L19" s="28" t="s">
        <v>53</v>
      </c>
      <c r="M19" s="28" t="s">
        <v>50</v>
      </c>
      <c r="N19" s="28" t="s">
        <v>37</v>
      </c>
      <c r="O19" s="35">
        <v>800</v>
      </c>
      <c r="P19" s="35">
        <v>100</v>
      </c>
      <c r="Q19" s="35">
        <v>800</v>
      </c>
      <c r="R19" s="35">
        <v>100</v>
      </c>
      <c r="S19" s="28">
        <v>11</v>
      </c>
      <c r="T19" s="28" t="s">
        <v>30</v>
      </c>
    </row>
    <row r="20" spans="1:20">
      <c r="A20" s="26">
        <v>19</v>
      </c>
      <c r="B20" s="27" t="s">
        <v>54</v>
      </c>
      <c r="C20" s="26">
        <v>2022</v>
      </c>
      <c r="D20" s="26" t="s">
        <v>55</v>
      </c>
      <c r="E20" s="26">
        <v>1</v>
      </c>
      <c r="F20" s="26" t="s">
        <v>22</v>
      </c>
      <c r="G20" s="26" t="s">
        <v>49</v>
      </c>
      <c r="H20" s="26" t="s">
        <v>24</v>
      </c>
      <c r="I20" s="26">
        <v>25</v>
      </c>
      <c r="J20" s="26" t="s">
        <v>25</v>
      </c>
      <c r="K20" s="32" t="s">
        <v>45</v>
      </c>
      <c r="L20" s="26" t="s">
        <v>56</v>
      </c>
      <c r="M20" s="26" t="s">
        <v>46</v>
      </c>
      <c r="N20" s="26" t="s">
        <v>29</v>
      </c>
      <c r="O20" s="33">
        <v>400</v>
      </c>
      <c r="P20" s="33">
        <v>150</v>
      </c>
      <c r="Q20" s="33">
        <v>400</v>
      </c>
      <c r="R20" s="33">
        <v>150</v>
      </c>
      <c r="S20" s="26">
        <v>18</v>
      </c>
      <c r="T20" s="26" t="s">
        <v>30</v>
      </c>
    </row>
    <row r="21" spans="1:20">
      <c r="A21" s="28">
        <v>20</v>
      </c>
      <c r="B21" s="29" t="s">
        <v>57</v>
      </c>
      <c r="C21" s="28">
        <v>2022</v>
      </c>
      <c r="D21" s="28" t="s">
        <v>58</v>
      </c>
      <c r="E21" s="28">
        <v>1</v>
      </c>
      <c r="F21" s="28" t="s">
        <v>33</v>
      </c>
      <c r="G21" s="28" t="s">
        <v>49</v>
      </c>
      <c r="H21" s="28" t="s">
        <v>34</v>
      </c>
      <c r="I21" s="28">
        <v>25</v>
      </c>
      <c r="J21" s="28" t="s">
        <v>25</v>
      </c>
      <c r="K21" s="34" t="s">
        <v>26</v>
      </c>
      <c r="L21" s="28" t="s">
        <v>28</v>
      </c>
      <c r="M21" s="28" t="s">
        <v>36</v>
      </c>
      <c r="N21" s="28" t="s">
        <v>37</v>
      </c>
      <c r="O21" s="35">
        <v>400</v>
      </c>
      <c r="P21" s="35">
        <v>100</v>
      </c>
      <c r="Q21" s="35">
        <v>400</v>
      </c>
      <c r="R21" s="35">
        <v>100</v>
      </c>
      <c r="S21" s="28">
        <v>13</v>
      </c>
      <c r="T21" s="28" t="s">
        <v>59</v>
      </c>
    </row>
    <row r="22" ht="15.75" spans="1:20">
      <c r="A22" s="26">
        <v>21</v>
      </c>
      <c r="B22" s="27" t="s">
        <v>57</v>
      </c>
      <c r="C22" s="26">
        <v>2022</v>
      </c>
      <c r="D22" s="26" t="s">
        <v>58</v>
      </c>
      <c r="E22" s="26">
        <v>1</v>
      </c>
      <c r="F22" s="26" t="s">
        <v>22</v>
      </c>
      <c r="G22" s="26" t="s">
        <v>49</v>
      </c>
      <c r="H22" s="26" t="s">
        <v>24</v>
      </c>
      <c r="I22" s="26">
        <v>25</v>
      </c>
      <c r="J22" s="26" t="s">
        <v>25</v>
      </c>
      <c r="K22" s="32" t="s">
        <v>45</v>
      </c>
      <c r="L22" s="26" t="s">
        <v>36</v>
      </c>
      <c r="M22" s="26" t="s">
        <v>62</v>
      </c>
      <c r="N22" s="26" t="s">
        <v>29</v>
      </c>
      <c r="O22" s="33">
        <v>400</v>
      </c>
      <c r="P22" s="33">
        <v>100</v>
      </c>
      <c r="Q22" s="37"/>
      <c r="R22" s="37"/>
      <c r="S22" s="26">
        <v>15</v>
      </c>
      <c r="T22" s="26" t="s">
        <v>59</v>
      </c>
    </row>
    <row r="23" spans="1:20">
      <c r="A23" s="28">
        <v>22</v>
      </c>
      <c r="B23" s="29" t="s">
        <v>63</v>
      </c>
      <c r="C23" s="28">
        <v>2022</v>
      </c>
      <c r="D23" s="28" t="s">
        <v>64</v>
      </c>
      <c r="E23" s="28">
        <v>1</v>
      </c>
      <c r="F23" s="28" t="s">
        <v>33</v>
      </c>
      <c r="G23" s="28" t="s">
        <v>23</v>
      </c>
      <c r="H23" s="28" t="s">
        <v>34</v>
      </c>
      <c r="I23" s="28">
        <v>25</v>
      </c>
      <c r="J23" s="28" t="s">
        <v>25</v>
      </c>
      <c r="K23" s="34" t="s">
        <v>45</v>
      </c>
      <c r="L23" s="28" t="s">
        <v>65</v>
      </c>
      <c r="M23" s="28" t="s">
        <v>46</v>
      </c>
      <c r="N23" s="28" t="s">
        <v>37</v>
      </c>
      <c r="O23" s="35">
        <v>400</v>
      </c>
      <c r="P23" s="35">
        <v>200</v>
      </c>
      <c r="Q23" s="35">
        <v>400</v>
      </c>
      <c r="R23" s="35">
        <v>200</v>
      </c>
      <c r="S23" s="28">
        <v>14</v>
      </c>
      <c r="T23" s="28" t="s">
        <v>30</v>
      </c>
    </row>
    <row r="24" ht="15.75" spans="1:20">
      <c r="A24" s="26">
        <v>23</v>
      </c>
      <c r="B24" s="27" t="s">
        <v>63</v>
      </c>
      <c r="C24" s="26">
        <v>2022</v>
      </c>
      <c r="D24" s="26" t="s">
        <v>64</v>
      </c>
      <c r="E24" s="26">
        <v>1</v>
      </c>
      <c r="F24" s="26" t="s">
        <v>22</v>
      </c>
      <c r="G24" s="26" t="s">
        <v>23</v>
      </c>
      <c r="H24" s="26" t="s">
        <v>24</v>
      </c>
      <c r="I24" s="26">
        <v>25</v>
      </c>
      <c r="J24" s="26" t="s">
        <v>25</v>
      </c>
      <c r="K24" s="32" t="s">
        <v>45</v>
      </c>
      <c r="L24" s="26" t="s">
        <v>27</v>
      </c>
      <c r="M24" s="26" t="s">
        <v>28</v>
      </c>
      <c r="N24" s="26" t="s">
        <v>29</v>
      </c>
      <c r="O24" s="33">
        <v>400</v>
      </c>
      <c r="P24" s="33">
        <v>400</v>
      </c>
      <c r="Q24" s="37"/>
      <c r="R24" s="37"/>
      <c r="S24" s="26">
        <v>12</v>
      </c>
      <c r="T24" s="26" t="s">
        <v>30</v>
      </c>
    </row>
    <row r="25" ht="15.75" spans="1:20">
      <c r="A25" s="28">
        <v>24</v>
      </c>
      <c r="B25" s="29" t="s">
        <v>63</v>
      </c>
      <c r="C25" s="28">
        <v>2022</v>
      </c>
      <c r="D25" s="28" t="s">
        <v>64</v>
      </c>
      <c r="E25" s="28">
        <v>1</v>
      </c>
      <c r="F25" s="28" t="s">
        <v>33</v>
      </c>
      <c r="G25" s="28" t="s">
        <v>23</v>
      </c>
      <c r="H25" s="28" t="s">
        <v>34</v>
      </c>
      <c r="I25" s="28">
        <v>15</v>
      </c>
      <c r="J25" s="28" t="s">
        <v>25</v>
      </c>
      <c r="K25" s="34" t="s">
        <v>45</v>
      </c>
      <c r="L25" s="28" t="s">
        <v>70</v>
      </c>
      <c r="M25" s="28" t="s">
        <v>36</v>
      </c>
      <c r="N25" s="28" t="s">
        <v>37</v>
      </c>
      <c r="O25" s="35">
        <v>400</v>
      </c>
      <c r="P25" s="35">
        <v>100</v>
      </c>
      <c r="Q25" s="36"/>
      <c r="R25" s="36"/>
      <c r="S25" s="28">
        <v>9</v>
      </c>
      <c r="T25" s="28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F25"/>
  <sheetViews>
    <sheetView workbookViewId="0">
      <selection activeCell="A1" sqref="A1:F25"/>
    </sheetView>
  </sheetViews>
  <sheetFormatPr defaultColWidth="9" defaultRowHeight="15" outlineLevelCol="5"/>
  <cols>
    <col min="1" max="1" width="9.71428571428571" customWidth="1"/>
    <col min="2" max="2" width="32.7142857142857" customWidth="1"/>
    <col min="3" max="3" width="12" customWidth="1"/>
    <col min="4" max="4" width="15.5714285714286" customWidth="1"/>
    <col min="5" max="6" width="11" customWidth="1"/>
  </cols>
  <sheetData>
    <row r="1" ht="21" spans="1:6">
      <c r="A1" s="22" t="s">
        <v>71</v>
      </c>
      <c r="B1" s="22" t="s">
        <v>1</v>
      </c>
      <c r="C1" s="22" t="s">
        <v>5</v>
      </c>
      <c r="D1" s="22" t="s">
        <v>72</v>
      </c>
      <c r="E1" s="22" t="s">
        <v>11</v>
      </c>
      <c r="F1" s="22" t="s">
        <v>12</v>
      </c>
    </row>
    <row r="2" spans="1:6">
      <c r="A2" s="23">
        <v>1</v>
      </c>
      <c r="B2" s="23" t="s">
        <v>20</v>
      </c>
      <c r="C2" s="23" t="s">
        <v>22</v>
      </c>
      <c r="D2" s="23" t="s">
        <v>24</v>
      </c>
      <c r="E2" s="23" t="s">
        <v>27</v>
      </c>
      <c r="F2" s="23" t="s">
        <v>28</v>
      </c>
    </row>
    <row r="3" spans="1:6">
      <c r="A3" s="23">
        <v>2</v>
      </c>
      <c r="B3" s="23" t="s">
        <v>31</v>
      </c>
      <c r="C3" s="23" t="s">
        <v>33</v>
      </c>
      <c r="D3" s="23" t="s">
        <v>34</v>
      </c>
      <c r="E3" s="23" t="s">
        <v>35</v>
      </c>
      <c r="F3" s="23" t="s">
        <v>36</v>
      </c>
    </row>
    <row r="4" spans="1:6">
      <c r="A4" s="23">
        <v>3</v>
      </c>
      <c r="B4" s="23" t="s">
        <v>38</v>
      </c>
      <c r="C4" s="23" t="s">
        <v>22</v>
      </c>
      <c r="D4" s="23" t="s">
        <v>24</v>
      </c>
      <c r="E4" s="23" t="s">
        <v>28</v>
      </c>
      <c r="F4" s="23" t="s">
        <v>41</v>
      </c>
    </row>
    <row r="5" spans="1:6">
      <c r="A5" s="23">
        <v>4</v>
      </c>
      <c r="B5" s="23" t="s">
        <v>42</v>
      </c>
      <c r="C5" s="23" t="s">
        <v>33</v>
      </c>
      <c r="D5" s="23" t="s">
        <v>34</v>
      </c>
      <c r="E5" s="23" t="s">
        <v>36</v>
      </c>
      <c r="F5" s="23" t="s">
        <v>46</v>
      </c>
    </row>
    <row r="6" spans="1:6">
      <c r="A6" s="23">
        <v>5</v>
      </c>
      <c r="B6" s="23" t="s">
        <v>47</v>
      </c>
      <c r="C6" s="23" t="s">
        <v>22</v>
      </c>
      <c r="D6" s="23" t="s">
        <v>24</v>
      </c>
      <c r="E6" s="23" t="s">
        <v>50</v>
      </c>
      <c r="F6" s="23" t="s">
        <v>46</v>
      </c>
    </row>
    <row r="7" spans="1:6">
      <c r="A7" s="23">
        <v>6</v>
      </c>
      <c r="B7" s="23" t="s">
        <v>51</v>
      </c>
      <c r="C7" s="23" t="s">
        <v>33</v>
      </c>
      <c r="D7" s="23" t="s">
        <v>34</v>
      </c>
      <c r="E7" s="23" t="s">
        <v>53</v>
      </c>
      <c r="F7" s="23" t="s">
        <v>50</v>
      </c>
    </row>
    <row r="8" spans="1:6">
      <c r="A8" s="23">
        <v>7</v>
      </c>
      <c r="B8" s="23" t="s">
        <v>54</v>
      </c>
      <c r="C8" s="23" t="s">
        <v>22</v>
      </c>
      <c r="D8" s="23" t="s">
        <v>24</v>
      </c>
      <c r="E8" s="23" t="s">
        <v>56</v>
      </c>
      <c r="F8" s="23" t="s">
        <v>46</v>
      </c>
    </row>
    <row r="9" spans="1:6">
      <c r="A9" s="23">
        <v>8</v>
      </c>
      <c r="B9" s="23" t="s">
        <v>57</v>
      </c>
      <c r="C9" s="23" t="s">
        <v>33</v>
      </c>
      <c r="D9" s="23" t="s">
        <v>34</v>
      </c>
      <c r="E9" s="23" t="s">
        <v>28</v>
      </c>
      <c r="F9" s="23" t="s">
        <v>36</v>
      </c>
    </row>
    <row r="10" spans="1:6">
      <c r="A10" s="23">
        <v>9</v>
      </c>
      <c r="B10" s="23" t="s">
        <v>60</v>
      </c>
      <c r="C10" s="23" t="s">
        <v>22</v>
      </c>
      <c r="D10" s="23" t="s">
        <v>24</v>
      </c>
      <c r="E10" s="23" t="s">
        <v>36</v>
      </c>
      <c r="F10" s="23" t="s">
        <v>62</v>
      </c>
    </row>
    <row r="11" spans="1:6">
      <c r="A11" s="23">
        <v>10</v>
      </c>
      <c r="B11" s="23" t="s">
        <v>63</v>
      </c>
      <c r="C11" s="23" t="s">
        <v>33</v>
      </c>
      <c r="D11" s="23" t="s">
        <v>34</v>
      </c>
      <c r="E11" s="23" t="s">
        <v>65</v>
      </c>
      <c r="F11" s="23" t="s">
        <v>46</v>
      </c>
    </row>
    <row r="12" spans="1:6">
      <c r="A12" s="23">
        <v>11</v>
      </c>
      <c r="B12" s="23" t="s">
        <v>66</v>
      </c>
      <c r="C12" s="23" t="s">
        <v>22</v>
      </c>
      <c r="D12" s="23" t="s">
        <v>24</v>
      </c>
      <c r="E12" s="23" t="s">
        <v>27</v>
      </c>
      <c r="F12" s="23" t="s">
        <v>28</v>
      </c>
    </row>
    <row r="13" spans="1:6">
      <c r="A13" s="23">
        <v>12</v>
      </c>
      <c r="B13" s="23" t="s">
        <v>68</v>
      </c>
      <c r="C13" s="23" t="s">
        <v>33</v>
      </c>
      <c r="D13" s="23" t="s">
        <v>34</v>
      </c>
      <c r="E13" s="23" t="s">
        <v>70</v>
      </c>
      <c r="F13" s="23" t="s">
        <v>36</v>
      </c>
    </row>
    <row r="14" spans="1:6">
      <c r="A14" s="23">
        <v>13</v>
      </c>
      <c r="B14" s="23" t="s">
        <v>20</v>
      </c>
      <c r="C14" s="23" t="s">
        <v>22</v>
      </c>
      <c r="D14" s="23" t="s">
        <v>24</v>
      </c>
      <c r="E14" s="23" t="s">
        <v>27</v>
      </c>
      <c r="F14" s="23" t="s">
        <v>28</v>
      </c>
    </row>
    <row r="15" spans="1:6">
      <c r="A15" s="23">
        <v>14</v>
      </c>
      <c r="B15" s="23" t="s">
        <v>31</v>
      </c>
      <c r="C15" s="23" t="s">
        <v>33</v>
      </c>
      <c r="D15" s="23" t="s">
        <v>34</v>
      </c>
      <c r="E15" s="23" t="s">
        <v>35</v>
      </c>
      <c r="F15" s="23" t="s">
        <v>36</v>
      </c>
    </row>
    <row r="16" spans="1:6">
      <c r="A16" s="23">
        <v>15</v>
      </c>
      <c r="B16" s="23" t="s">
        <v>38</v>
      </c>
      <c r="C16" s="23" t="s">
        <v>22</v>
      </c>
      <c r="D16" s="23" t="s">
        <v>24</v>
      </c>
      <c r="E16" s="23" t="s">
        <v>28</v>
      </c>
      <c r="F16" s="23" t="s">
        <v>41</v>
      </c>
    </row>
    <row r="17" spans="1:6">
      <c r="A17" s="23">
        <v>16</v>
      </c>
      <c r="B17" s="23" t="s">
        <v>38</v>
      </c>
      <c r="C17" s="23" t="s">
        <v>33</v>
      </c>
      <c r="D17" s="23" t="s">
        <v>34</v>
      </c>
      <c r="E17" s="23" t="s">
        <v>36</v>
      </c>
      <c r="F17" s="23" t="s">
        <v>46</v>
      </c>
    </row>
    <row r="18" spans="1:6">
      <c r="A18" s="23">
        <v>17</v>
      </c>
      <c r="B18" s="23" t="s">
        <v>38</v>
      </c>
      <c r="C18" s="23" t="s">
        <v>22</v>
      </c>
      <c r="D18" s="23" t="s">
        <v>24</v>
      </c>
      <c r="E18" s="23" t="s">
        <v>50</v>
      </c>
      <c r="F18" s="23" t="s">
        <v>46</v>
      </c>
    </row>
    <row r="19" spans="1:6">
      <c r="A19" s="23">
        <v>18</v>
      </c>
      <c r="B19" s="23" t="s">
        <v>51</v>
      </c>
      <c r="C19" s="23" t="s">
        <v>33</v>
      </c>
      <c r="D19" s="23" t="s">
        <v>34</v>
      </c>
      <c r="E19" s="23" t="s">
        <v>53</v>
      </c>
      <c r="F19" s="23" t="s">
        <v>50</v>
      </c>
    </row>
    <row r="20" spans="1:6">
      <c r="A20" s="23">
        <v>19</v>
      </c>
      <c r="B20" s="23" t="s">
        <v>54</v>
      </c>
      <c r="C20" s="23" t="s">
        <v>22</v>
      </c>
      <c r="D20" s="23" t="s">
        <v>24</v>
      </c>
      <c r="E20" s="23" t="s">
        <v>56</v>
      </c>
      <c r="F20" s="23" t="s">
        <v>46</v>
      </c>
    </row>
    <row r="21" spans="1:6">
      <c r="A21" s="23">
        <v>20</v>
      </c>
      <c r="B21" s="23" t="s">
        <v>57</v>
      </c>
      <c r="C21" s="23" t="s">
        <v>33</v>
      </c>
      <c r="D21" s="23" t="s">
        <v>34</v>
      </c>
      <c r="E21" s="23" t="s">
        <v>28</v>
      </c>
      <c r="F21" s="23" t="s">
        <v>36</v>
      </c>
    </row>
    <row r="22" spans="1:6">
      <c r="A22" s="23">
        <v>21</v>
      </c>
      <c r="B22" s="23" t="s">
        <v>57</v>
      </c>
      <c r="C22" s="23" t="s">
        <v>22</v>
      </c>
      <c r="D22" s="23" t="s">
        <v>24</v>
      </c>
      <c r="E22" s="23" t="s">
        <v>36</v>
      </c>
      <c r="F22" s="23" t="s">
        <v>62</v>
      </c>
    </row>
    <row r="23" spans="1:6">
      <c r="A23" s="23">
        <v>22</v>
      </c>
      <c r="B23" s="23" t="s">
        <v>63</v>
      </c>
      <c r="C23" s="23" t="s">
        <v>33</v>
      </c>
      <c r="D23" s="23" t="s">
        <v>34</v>
      </c>
      <c r="E23" s="23" t="s">
        <v>65</v>
      </c>
      <c r="F23" s="23" t="s">
        <v>46</v>
      </c>
    </row>
    <row r="24" spans="1:6">
      <c r="A24" s="23">
        <v>23</v>
      </c>
      <c r="B24" s="23" t="s">
        <v>63</v>
      </c>
      <c r="C24" s="23" t="s">
        <v>22</v>
      </c>
      <c r="D24" s="23" t="s">
        <v>24</v>
      </c>
      <c r="E24" s="23" t="s">
        <v>27</v>
      </c>
      <c r="F24" s="23" t="s">
        <v>28</v>
      </c>
    </row>
    <row r="25" spans="1:6">
      <c r="A25" s="23">
        <v>24</v>
      </c>
      <c r="B25" s="23" t="s">
        <v>63</v>
      </c>
      <c r="C25" s="23" t="s">
        <v>33</v>
      </c>
      <c r="D25" s="23" t="s">
        <v>34</v>
      </c>
      <c r="E25" s="23" t="s">
        <v>70</v>
      </c>
      <c r="F25" s="23" t="s">
        <v>36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P38"/>
  <sheetViews>
    <sheetView topLeftCell="B17" workbookViewId="0">
      <selection activeCell="G39" sqref="G39"/>
    </sheetView>
  </sheetViews>
  <sheetFormatPr defaultColWidth="9" defaultRowHeight="15"/>
  <cols>
    <col min="2" max="2" width="30.7142857142857"/>
    <col min="3" max="3" width="28.2857142857143" customWidth="1"/>
    <col min="4" max="4" width="19.7142857142857"/>
    <col min="5" max="5" width="42.1428571428571"/>
    <col min="6" max="6" width="38.2857142857143"/>
    <col min="7" max="7" width="24" customWidth="1"/>
    <col min="8" max="8" width="11.2857142857143" customWidth="1"/>
    <col min="9" max="9" width="17.7142857142857" customWidth="1"/>
    <col min="10" max="10" width="19.7142857142857"/>
    <col min="11" max="11" width="29.8571428571429"/>
    <col min="12" max="12" width="13.1428571428571" customWidth="1"/>
    <col min="13" max="13" width="19.8571428571429" customWidth="1"/>
    <col min="14" max="23" width="16.2857142857143" customWidth="1"/>
    <col min="24" max="24" width="11.1428571428571" customWidth="1"/>
  </cols>
  <sheetData>
    <row r="1" ht="21" spans="2:11">
      <c r="B1" s="2" t="s">
        <v>73</v>
      </c>
      <c r="C1" s="3"/>
      <c r="D1" s="4" t="s">
        <v>19</v>
      </c>
      <c r="E1" s="4"/>
      <c r="J1" s="4" t="s">
        <v>9</v>
      </c>
      <c r="K1" s="4"/>
    </row>
    <row r="2" ht="21" spans="2:16">
      <c r="B2" s="5" t="s">
        <v>74</v>
      </c>
      <c r="C2" s="3"/>
      <c r="D2" s="6" t="s">
        <v>75</v>
      </c>
      <c r="E2" s="6" t="s">
        <v>76</v>
      </c>
      <c r="J2" s="6" t="s">
        <v>75</v>
      </c>
      <c r="K2" s="6" t="s">
        <v>77</v>
      </c>
      <c r="M2" t="s">
        <v>78</v>
      </c>
      <c r="N2" s="11">
        <f>P12</f>
        <v>15100</v>
      </c>
      <c r="O2" s="11">
        <f>N2+N3</f>
        <v>27200</v>
      </c>
      <c r="P2" s="17">
        <f>N2/O2*100</f>
        <v>55.5147058823529</v>
      </c>
    </row>
    <row r="3" ht="21" spans="2:16">
      <c r="B3" s="5">
        <v>4</v>
      </c>
      <c r="C3" s="7">
        <f>GETPIVOTDATA("N",$B$2)</f>
        <v>4</v>
      </c>
      <c r="D3" s="8" t="s">
        <v>30</v>
      </c>
      <c r="E3" s="6">
        <v>4</v>
      </c>
      <c r="J3" s="8" t="s">
        <v>40</v>
      </c>
      <c r="K3" s="6">
        <v>3</v>
      </c>
      <c r="M3" t="s">
        <v>79</v>
      </c>
      <c r="N3" s="11">
        <f>O12</f>
        <v>12100</v>
      </c>
      <c r="P3" s="18">
        <f>N4/O2*100</f>
        <v>44.4852941176471</v>
      </c>
    </row>
    <row r="4" ht="21" spans="4:14">
      <c r="D4" s="8" t="s">
        <v>80</v>
      </c>
      <c r="E4" s="6">
        <v>4</v>
      </c>
      <c r="G4" s="7" t="s">
        <v>81</v>
      </c>
      <c r="H4" s="9" t="e">
        <f>VLOOKUP(G4,D2:E4,2,FALSE)</f>
        <v>#N/A</v>
      </c>
      <c r="J4" s="8" t="s">
        <v>44</v>
      </c>
      <c r="K4" s="6">
        <v>1</v>
      </c>
      <c r="M4" t="s">
        <v>79</v>
      </c>
      <c r="N4" s="11">
        <f>O12</f>
        <v>12100</v>
      </c>
    </row>
    <row r="5" ht="21" spans="10:14">
      <c r="J5" s="8" t="s">
        <v>80</v>
      </c>
      <c r="K5" s="6">
        <v>4</v>
      </c>
      <c r="M5" t="s">
        <v>78</v>
      </c>
      <c r="N5" s="11">
        <f>P12</f>
        <v>15100</v>
      </c>
    </row>
    <row r="7" ht="21" spans="2:4">
      <c r="B7" s="4" t="s">
        <v>82</v>
      </c>
      <c r="C7" s="4"/>
      <c r="D7" s="4"/>
    </row>
    <row r="8" spans="2:4">
      <c r="B8" t="s">
        <v>75</v>
      </c>
      <c r="C8" t="s">
        <v>83</v>
      </c>
      <c r="D8" t="s">
        <v>84</v>
      </c>
    </row>
    <row r="9" ht="21" spans="2:16">
      <c r="B9" s="10" t="s">
        <v>25</v>
      </c>
      <c r="C9">
        <v>6400</v>
      </c>
      <c r="D9">
        <v>3100</v>
      </c>
      <c r="F9" s="4" t="s">
        <v>85</v>
      </c>
      <c r="G9" s="4"/>
      <c r="J9" s="4" t="s">
        <v>86</v>
      </c>
      <c r="K9" s="4"/>
      <c r="L9" s="4"/>
      <c r="M9" s="4"/>
      <c r="N9" s="4"/>
      <c r="O9" s="4"/>
      <c r="P9" s="4"/>
    </row>
    <row r="10" spans="2:16">
      <c r="B10" s="10" t="s">
        <v>40</v>
      </c>
      <c r="C10">
        <v>4000</v>
      </c>
      <c r="D10">
        <v>600</v>
      </c>
      <c r="F10" t="s">
        <v>75</v>
      </c>
      <c r="G10" t="s">
        <v>87</v>
      </c>
      <c r="J10" t="s">
        <v>88</v>
      </c>
      <c r="K10" t="s">
        <v>89</v>
      </c>
      <c r="L10" t="s">
        <v>83</v>
      </c>
      <c r="M10" t="s">
        <v>84</v>
      </c>
      <c r="N10" t="s">
        <v>90</v>
      </c>
      <c r="O10" t="s">
        <v>91</v>
      </c>
      <c r="P10" t="s">
        <v>92</v>
      </c>
    </row>
    <row r="11" spans="2:16">
      <c r="B11" s="10" t="s">
        <v>44</v>
      </c>
      <c r="C11">
        <v>800</v>
      </c>
      <c r="D11">
        <v>200</v>
      </c>
      <c r="F11" s="10" t="s">
        <v>29</v>
      </c>
      <c r="G11">
        <v>12</v>
      </c>
      <c r="J11">
        <v>9000</v>
      </c>
      <c r="K11">
        <v>3100</v>
      </c>
      <c r="L11">
        <v>11200</v>
      </c>
      <c r="M11">
        <v>3900</v>
      </c>
      <c r="N11">
        <v>27200</v>
      </c>
      <c r="O11">
        <v>12100</v>
      </c>
      <c r="P11" s="19">
        <v>15100</v>
      </c>
    </row>
    <row r="12" spans="2:16">
      <c r="B12" s="10" t="s">
        <v>80</v>
      </c>
      <c r="C12">
        <v>11200</v>
      </c>
      <c r="D12">
        <v>3900</v>
      </c>
      <c r="F12" s="10" t="s">
        <v>37</v>
      </c>
      <c r="G12">
        <v>12</v>
      </c>
      <c r="J12" s="20">
        <f>GETPIVOTDATA("Sum of Driver Salary",$J$10)</f>
        <v>9000</v>
      </c>
      <c r="K12" s="20">
        <f>GETPIVOTDATA("Sum of Buddy Salary",$J$10)</f>
        <v>3100</v>
      </c>
      <c r="L12" s="20">
        <f>GETPIVOTDATA("Sum of Driver wage/trip",$J$10)</f>
        <v>11200</v>
      </c>
      <c r="M12" s="20">
        <f>GETPIVOTDATA("Sum of Buddy wage/trip",$J$10)</f>
        <v>3900</v>
      </c>
      <c r="N12" s="20">
        <f>GETPIVOTDATA("Sum of Total Expenses",$J$10)</f>
        <v>27200</v>
      </c>
      <c r="O12" s="11">
        <f>GETPIVOTDATA("Sum of Total Salary",$J$10)</f>
        <v>12100</v>
      </c>
      <c r="P12" s="11">
        <f>GETPIVOTDATA("Sum of Total Wages",$J$10)</f>
        <v>15100</v>
      </c>
    </row>
    <row r="13" spans="6:7">
      <c r="F13" s="10" t="s">
        <v>80</v>
      </c>
      <c r="G13">
        <v>24</v>
      </c>
    </row>
    <row r="18" ht="21" spans="3:13">
      <c r="C18" s="4" t="s">
        <v>93</v>
      </c>
      <c r="D18" s="4"/>
      <c r="F18" s="4" t="s">
        <v>94</v>
      </c>
      <c r="G18" s="4"/>
      <c r="I18" s="4" t="s">
        <v>95</v>
      </c>
      <c r="J18" s="4"/>
      <c r="L18" s="4" t="s">
        <v>96</v>
      </c>
      <c r="M18" s="4"/>
    </row>
    <row r="19" ht="21" spans="3:13">
      <c r="C19" t="s">
        <v>75</v>
      </c>
      <c r="D19" s="11" t="s">
        <v>97</v>
      </c>
      <c r="F19" s="12" t="s">
        <v>75</v>
      </c>
      <c r="G19" s="11" t="s">
        <v>83</v>
      </c>
      <c r="I19" s="12" t="s">
        <v>75</v>
      </c>
      <c r="J19" s="11" t="s">
        <v>84</v>
      </c>
      <c r="L19" t="s">
        <v>75</v>
      </c>
      <c r="M19" t="s">
        <v>77</v>
      </c>
    </row>
    <row r="20" ht="21" spans="3:13">
      <c r="C20" s="10" t="s">
        <v>21</v>
      </c>
      <c r="D20" s="11">
        <v>3200</v>
      </c>
      <c r="F20" s="13" t="s">
        <v>21</v>
      </c>
      <c r="G20" s="14">
        <v>800</v>
      </c>
      <c r="I20" s="13" t="s">
        <v>21</v>
      </c>
      <c r="J20" s="14">
        <v>800</v>
      </c>
      <c r="L20" s="10" t="s">
        <v>21</v>
      </c>
      <c r="M20" s="21">
        <v>2</v>
      </c>
    </row>
    <row r="21" ht="21" spans="3:13">
      <c r="C21" s="10" t="s">
        <v>32</v>
      </c>
      <c r="D21" s="11">
        <v>2000</v>
      </c>
      <c r="F21" s="13" t="s">
        <v>32</v>
      </c>
      <c r="G21" s="14">
        <v>800</v>
      </c>
      <c r="I21" s="13" t="s">
        <v>32</v>
      </c>
      <c r="J21" s="14">
        <v>200</v>
      </c>
      <c r="L21" s="10" t="s">
        <v>32</v>
      </c>
      <c r="M21" s="21">
        <v>2</v>
      </c>
    </row>
    <row r="22" ht="21" spans="3:13">
      <c r="C22" s="10" t="s">
        <v>39</v>
      </c>
      <c r="D22" s="11">
        <v>4000</v>
      </c>
      <c r="F22" s="13" t="s">
        <v>39</v>
      </c>
      <c r="G22" s="14">
        <v>2200</v>
      </c>
      <c r="I22" s="13" t="s">
        <v>39</v>
      </c>
      <c r="J22" s="14">
        <v>400</v>
      </c>
      <c r="L22" s="10" t="s">
        <v>39</v>
      </c>
      <c r="M22" s="21">
        <v>4</v>
      </c>
    </row>
    <row r="23" ht="21" spans="3:13">
      <c r="C23" s="10" t="s">
        <v>43</v>
      </c>
      <c r="D23" s="11">
        <v>1000</v>
      </c>
      <c r="F23" s="13" t="s">
        <v>43</v>
      </c>
      <c r="G23" s="14">
        <v>400</v>
      </c>
      <c r="I23" s="13" t="s">
        <v>43</v>
      </c>
      <c r="J23" s="14">
        <v>100</v>
      </c>
      <c r="L23" s="10" t="s">
        <v>43</v>
      </c>
      <c r="M23" s="21">
        <v>1</v>
      </c>
    </row>
    <row r="24" ht="21" spans="3:13">
      <c r="C24" s="10" t="s">
        <v>48</v>
      </c>
      <c r="D24" s="11">
        <v>1400</v>
      </c>
      <c r="F24" s="12" t="s">
        <v>48</v>
      </c>
      <c r="G24" s="14">
        <v>600</v>
      </c>
      <c r="I24" s="12" t="s">
        <v>48</v>
      </c>
      <c r="J24" s="14">
        <v>100</v>
      </c>
      <c r="L24" s="10" t="s">
        <v>48</v>
      </c>
      <c r="M24" s="21">
        <v>1</v>
      </c>
    </row>
    <row r="25" ht="21" spans="3:13">
      <c r="C25" s="10" t="s">
        <v>52</v>
      </c>
      <c r="D25" s="11">
        <v>3600</v>
      </c>
      <c r="F25" s="13" t="s">
        <v>52</v>
      </c>
      <c r="G25" s="14">
        <v>1600</v>
      </c>
      <c r="I25" s="13" t="s">
        <v>52</v>
      </c>
      <c r="J25" s="14">
        <v>200</v>
      </c>
      <c r="L25" s="10" t="s">
        <v>52</v>
      </c>
      <c r="M25" s="21">
        <v>2</v>
      </c>
    </row>
    <row r="26" ht="21" spans="3:13">
      <c r="C26" s="10" t="s">
        <v>55</v>
      </c>
      <c r="D26" s="11">
        <v>2200</v>
      </c>
      <c r="F26" s="13" t="s">
        <v>55</v>
      </c>
      <c r="G26" s="14">
        <v>800</v>
      </c>
      <c r="I26" s="13" t="s">
        <v>55</v>
      </c>
      <c r="J26" s="14">
        <v>300</v>
      </c>
      <c r="L26" s="10" t="s">
        <v>55</v>
      </c>
      <c r="M26" s="21">
        <v>2</v>
      </c>
    </row>
    <row r="27" ht="21" spans="3:13">
      <c r="C27" s="10" t="s">
        <v>58</v>
      </c>
      <c r="D27" s="11">
        <v>2500</v>
      </c>
      <c r="F27" s="13" t="s">
        <v>58</v>
      </c>
      <c r="G27" s="14">
        <v>1200</v>
      </c>
      <c r="I27" s="13" t="s">
        <v>58</v>
      </c>
      <c r="J27" s="14">
        <v>300</v>
      </c>
      <c r="L27" s="10" t="s">
        <v>58</v>
      </c>
      <c r="M27" s="21">
        <v>3</v>
      </c>
    </row>
    <row r="28" ht="21" spans="3:13">
      <c r="C28" s="10" t="s">
        <v>61</v>
      </c>
      <c r="D28" s="11">
        <v>1000</v>
      </c>
      <c r="F28" s="13" t="s">
        <v>61</v>
      </c>
      <c r="G28" s="14">
        <v>400</v>
      </c>
      <c r="I28" s="13" t="s">
        <v>61</v>
      </c>
      <c r="J28" s="14">
        <v>100</v>
      </c>
      <c r="L28" s="10" t="s">
        <v>61</v>
      </c>
      <c r="M28" s="21">
        <v>1</v>
      </c>
    </row>
    <row r="29" ht="21" spans="3:13">
      <c r="C29" s="10" t="s">
        <v>64</v>
      </c>
      <c r="D29" s="11">
        <v>3700</v>
      </c>
      <c r="F29" s="13" t="s">
        <v>64</v>
      </c>
      <c r="G29" s="14">
        <v>1600</v>
      </c>
      <c r="I29" s="13" t="s">
        <v>64</v>
      </c>
      <c r="J29" s="14">
        <v>900</v>
      </c>
      <c r="L29" s="10" t="s">
        <v>64</v>
      </c>
      <c r="M29" s="21">
        <v>4</v>
      </c>
    </row>
    <row r="30" ht="21" spans="3:13">
      <c r="C30" s="10" t="s">
        <v>67</v>
      </c>
      <c r="D30" s="11">
        <v>1600</v>
      </c>
      <c r="F30" s="13" t="s">
        <v>67</v>
      </c>
      <c r="G30" s="14">
        <v>400</v>
      </c>
      <c r="I30" s="13" t="s">
        <v>67</v>
      </c>
      <c r="J30" s="14">
        <v>400</v>
      </c>
      <c r="L30" s="10" t="s">
        <v>67</v>
      </c>
      <c r="M30" s="21">
        <v>1</v>
      </c>
    </row>
    <row r="31" ht="21" spans="3:13">
      <c r="C31" s="10" t="s">
        <v>69</v>
      </c>
      <c r="D31" s="11">
        <v>1000</v>
      </c>
      <c r="F31" s="13" t="s">
        <v>69</v>
      </c>
      <c r="G31" s="14">
        <v>400</v>
      </c>
      <c r="I31" s="13" t="s">
        <v>69</v>
      </c>
      <c r="J31" s="14">
        <v>100</v>
      </c>
      <c r="L31" s="10" t="s">
        <v>69</v>
      </c>
      <c r="M31" s="21">
        <v>1</v>
      </c>
    </row>
    <row r="32" spans="3:13">
      <c r="C32" s="10" t="s">
        <v>80</v>
      </c>
      <c r="D32" s="11">
        <v>27200</v>
      </c>
      <c r="F32" s="10" t="s">
        <v>80</v>
      </c>
      <c r="G32" s="11">
        <v>11200</v>
      </c>
      <c r="I32" s="10" t="s">
        <v>80</v>
      </c>
      <c r="J32" s="11">
        <v>3900</v>
      </c>
      <c r="L32" s="10" t="s">
        <v>80</v>
      </c>
      <c r="M32" s="21">
        <v>24</v>
      </c>
    </row>
    <row r="34" ht="21" spans="2:6">
      <c r="B34" s="15" t="s">
        <v>98</v>
      </c>
      <c r="E34" s="15" t="s">
        <v>99</v>
      </c>
      <c r="F34" s="15"/>
    </row>
    <row r="35" ht="21" spans="2:6">
      <c r="B35" s="5" t="s">
        <v>100</v>
      </c>
      <c r="E35" s="5" t="s">
        <v>75</v>
      </c>
      <c r="F35" s="5" t="s">
        <v>101</v>
      </c>
    </row>
    <row r="36" ht="21" spans="2:7">
      <c r="B36" s="5">
        <v>239</v>
      </c>
      <c r="C36" s="12">
        <f>GETPIVOTDATA("Distance (km)",$B$35)</f>
        <v>239</v>
      </c>
      <c r="E36" s="16" t="s">
        <v>45</v>
      </c>
      <c r="F36" s="5">
        <v>2</v>
      </c>
      <c r="G36" s="12">
        <f>GETPIVOTDATA("Distance Traveled",$E$35,"Distance Traveled","One-Way")</f>
        <v>2</v>
      </c>
    </row>
    <row r="37" ht="21" spans="5:7">
      <c r="E37" s="16" t="s">
        <v>26</v>
      </c>
      <c r="F37" s="5">
        <v>2</v>
      </c>
      <c r="G37" s="12">
        <f>GETPIVOTDATA("Distance Traveled",$E$35,"Distance Traveled","Return")</f>
        <v>2</v>
      </c>
    </row>
    <row r="38" ht="21" spans="5:6">
      <c r="E38" s="16" t="s">
        <v>80</v>
      </c>
      <c r="F38" s="5">
        <v>4</v>
      </c>
    </row>
  </sheetData>
  <mergeCells count="10">
    <mergeCell ref="D1:E1"/>
    <mergeCell ref="J1:K1"/>
    <mergeCell ref="B7:D7"/>
    <mergeCell ref="F9:G9"/>
    <mergeCell ref="J9:P9"/>
    <mergeCell ref="C18:D18"/>
    <mergeCell ref="F18:G18"/>
    <mergeCell ref="I18:J18"/>
    <mergeCell ref="L18:M18"/>
    <mergeCell ref="E34:F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showGridLines="0" tabSelected="1" workbookViewId="0">
      <selection activeCell="A1" sqref="A1"/>
    </sheetView>
  </sheetViews>
  <sheetFormatPr defaultColWidth="9" defaultRowHeight="15"/>
  <cols>
    <col min="1" max="16384" width="9.14285714285714" style="1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showGridLines="0" workbookViewId="0">
      <selection activeCell="A1" sqref="A1"/>
    </sheetView>
  </sheetViews>
  <sheetFormatPr defaultColWidth="9" defaultRowHeight="15"/>
  <cols>
    <col min="1" max="16384" width="9.14285714285714" style="1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Dataset</vt:lpstr>
      <vt:lpstr>Table for Schedule</vt:lpstr>
      <vt:lpstr>Pivot Table</vt:lpstr>
      <vt:lpstr>Dashboard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SKANDA NAGARAJ</dc:creator>
  <cp:lastModifiedBy>SKANDA NAGARAJ</cp:lastModifiedBy>
  <dcterms:created xsi:type="dcterms:W3CDTF">2024-11-11T10:08:00Z</dcterms:created>
  <dcterms:modified xsi:type="dcterms:W3CDTF">2025-07-17T11:18:42Z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630649BE21E34297AE9888C5D219959F_12</vt:lpwstr>
  </property>
  <property fmtid="{D5CDD505-2E9C-101B-9397-08002B2CF9AE}" pid="3" name="KSOProductBuildVer">
    <vt:lpwstr>2057-12.2.0.21936</vt:lpwstr>
  </property>
</Properties>
</file>